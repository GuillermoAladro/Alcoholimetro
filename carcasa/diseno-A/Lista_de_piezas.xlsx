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A Fabricar" sheetId="2" state="visible" r:id="rId4"/>
    <sheet name="A Compra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<sst xmlns="http://schemas.openxmlformats.org/spreadsheetml/2006/main" count="681" uniqueCount="518">
  <si>
    <t xml:space="preserve">Alcoholímetro · cajón de componentes · diseño A</t>
  </si>
  <si>
    <t xml:space="preserve">Medidas exteriores en mm. Totales enlazados a las hojas de cada diseño (fórmulas).</t>
  </si>
  <si>
    <t xml:space="preserve">Diseño</t>
  </si>
  <si>
    <t xml:space="preserve">Nombre</t>
  </si>
  <si>
    <t xml:space="preserve">Ancho (mm)</t>
  </si>
  <si>
    <t xml:space="preserve">Fondo (mm)</t>
  </si>
  <si>
    <t xml:space="preserve">Alto (mm)</t>
  </si>
  <si>
    <t xml:space="preserve">Tapa</t>
  </si>
  <si>
    <t xml:space="preserve">Piezas a fabricar</t>
  </si>
  <si>
    <t xml:space="preserve">Chapa y PC (kg)</t>
  </si>
  <si>
    <t xml:space="preserve">Compras primer pedido (€)</t>
  </si>
  <si>
    <t xml:space="preserve">Compras sin herramienta (€)</t>
  </si>
  <si>
    <t xml:space="preserve">Choques y barridos</t>
  </si>
  <si>
    <t xml:space="preserve">Idea</t>
  </si>
  <si>
    <t xml:space="preserve">A</t>
  </si>
  <si>
    <t xml:space="preserve">Compacta</t>
  </si>
  <si>
    <t xml:space="preserve">Abatible hacia la izquierda, 1 cerradura</t>
  </si>
  <si>
    <t xml:space="preserve">0 choques · tapa, tapa interior, cajón y pajitas sin roces</t>
  </si>
  <si>
    <t xml:space="preserve">Cámara y Solo arriba, pantalla debajo. Policarbonato delante y detrás del panel. Tapa abatible con cerradura y faldón derecho; tapa interior plana que entra deslizando por una ranura del lateral derecho; cajón de pajitas con dos candados. Sin botón.</t>
  </si>
  <si>
    <t xml:space="preserve">Notas</t>
  </si>
  <si>
    <t xml:space="preserve">• Hay dos policarbonatos de 5 mm: uno delante del panel frontal y otro detrás, entre el panel y el cajón de componentes. Todas las piezas de chapa son planas (acero DC01 1,5 mm, corte láser) y se unen por soldadura por puntos o remaches: no hay plegados.</t>
  </si>
  <si>
    <t xml:space="preserve">• Los números de pieza son los mismos en el visor 3D, en los STEP (STEP_piezas/&lt;nº&gt;.step) y en los DXF (DXF_corte/&lt;nº&gt;.dxf).</t>
  </si>
  <si>
    <t xml:space="preserve">• Las compras salen del modelo 3D (cuántas veces aparece cada pieza) más lo que no se dibuja (tubo, fusibles, cables, microSD...).</t>
  </si>
  <si>
    <t xml:space="preserve">• Paquetes a pedir: si el anuncio no dice cuántas unidades trae, se pone 1 en amarillo para revisarlo.</t>
  </si>
  <si>
    <t xml:space="preserve">Diseño A · Compacta — piezas a fabricar</t>
  </si>
  <si>
    <t xml:space="preserve">Cada fila es una forma geométrica: una chapa plana (láser) o la placa de policarbonato. Archivos dentro de la carpeta CAD del diseño.</t>
  </si>
  <si>
    <t xml:space="preserve">Nº pieza</t>
  </si>
  <si>
    <t xml:space="preserve">Pieza</t>
  </si>
  <si>
    <t xml:space="preserve">Grupo</t>
  </si>
  <si>
    <t xml:space="preserve">Material</t>
  </si>
  <si>
    <t xml:space="preserve">Proceso</t>
  </si>
  <si>
    <t xml:space="preserve">Largo (mm)</t>
  </si>
  <si>
    <t xml:space="preserve">Espesor (mm)</t>
  </si>
  <si>
    <t xml:space="preserve">Masa (g)</t>
  </si>
  <si>
    <t xml:space="preserve">Archivo DXF</t>
  </si>
  <si>
    <t xml:space="preserve">Archivo STEP</t>
  </si>
  <si>
    <t xml:space="preserve">A-C01</t>
  </si>
  <si>
    <t xml:space="preserve">Panel frontal</t>
  </si>
  <si>
    <t xml:space="preserve">Carcasa</t>
  </si>
  <si>
    <t xml:space="preserve">Acero DC01 1,5 mm</t>
  </si>
  <si>
    <t xml:space="preserve">Láser</t>
  </si>
  <si>
    <t xml:space="preserve">DXF_corte/A-C01.dxf</t>
  </si>
  <si>
    <t xml:space="preserve">STEP_piezas/A-C01.step</t>
  </si>
  <si>
    <t xml:space="preserve">Ventanas de pantalla, Solo, cámara y boquilla; 10 × Ø4,5 de los tornillos de los policarbonatos; 3 ranuras de pajitas</t>
  </si>
  <si>
    <t xml:space="preserve">A-V01</t>
  </si>
  <si>
    <t xml:space="preserve">Policarbonato exterior 5 mm (delante del panel)</t>
  </si>
  <si>
    <t xml:space="preserve">Policarbonato</t>
  </si>
  <si>
    <t xml:space="preserve">Policarbonato compacto 5 mm</t>
  </si>
  <si>
    <t xml:space="preserve">Corte CNC + taladros</t>
  </si>
  <si>
    <t xml:space="preserve">DXF_corte/A-V01.dxf</t>
  </si>
  <si>
    <t xml:space="preserve">STEP_piezas/A-V01.step</t>
  </si>
  <si>
    <t xml:space="preserve">10 × Ø4,5 avellanados a Ø8,5 por delante (tornillos de cabeza plana a ras); boquilla Ø7 avellanada</t>
  </si>
  <si>
    <t xml:space="preserve">A-V02</t>
  </si>
  <si>
    <t xml:space="preserve">Policarbonato interior 5 mm (detrás del panel)</t>
  </si>
  <si>
    <t xml:space="preserve">DXF_corte/A-V02.dxf</t>
  </si>
  <si>
    <t xml:space="preserve">STEP_piezas/A-V02.step</t>
  </si>
  <si>
    <t xml:space="preserve">Entre el panel y el cajón de componentes; Ø5 de los tornillos; boquilla Ø7</t>
  </si>
  <si>
    <t xml:space="preserve">A-C02</t>
  </si>
  <si>
    <t xml:space="preserve">Trasera</t>
  </si>
  <si>
    <t xml:space="preserve">DXF_corte/A-C02.dxf</t>
  </si>
  <si>
    <t xml:space="preserve">STEP_piezas/A-C02.step</t>
  </si>
  <si>
    <t xml:space="preserve">18 agujeros Ø6,5 para la pared (3 columnas × 6 filas). Tirafondo 6 × 60 con taco de 8 mm y arandela ancha M6, apretados desde dentro</t>
  </si>
  <si>
    <t xml:space="preserve">A-C03</t>
  </si>
  <si>
    <t xml:space="preserve">Lateral izquierdo</t>
  </si>
  <si>
    <t xml:space="preserve">DXF_corte/A-C03.dxf</t>
  </si>
  <si>
    <t xml:space="preserve">STEP_piezas/A-C03.step</t>
  </si>
  <si>
    <t xml:space="preserve">Hueco del cajón de pajitas, rejilla de escape del soplido y rejillas de ventilación</t>
  </si>
  <si>
    <t xml:space="preserve">A-C04</t>
  </si>
  <si>
    <t xml:space="preserve">Lateral derecho</t>
  </si>
  <si>
    <t xml:space="preserve">DXF_corte/A-C04.dxf</t>
  </si>
  <si>
    <t xml:space="preserve">STEP_piezas/A-C04.step</t>
  </si>
  <si>
    <t xml:space="preserve">Ventana de acceso a la toma C14 (38 × 56), rejillas, ranura 2.1 × 90 de la tapa interior con muesca R8 encima; ranura 4×14 de la leva; agujero Ø6,5 de la antena</t>
  </si>
  <si>
    <t xml:space="preserve">A-C05</t>
  </si>
  <si>
    <t xml:space="preserve">Suelo</t>
  </si>
  <si>
    <t xml:space="preserve">DXF_corte/A-C05.dxf</t>
  </si>
  <si>
    <t xml:space="preserve">STEP_piezas/A-C05.step</t>
  </si>
  <si>
    <t xml:space="preserve">A-C06</t>
  </si>
  <si>
    <t xml:space="preserve">Bandeja (suelo de la zona de componentes)</t>
  </si>
  <si>
    <t xml:space="preserve">DXF_corte/A-C06.dxf</t>
  </si>
  <si>
    <t xml:space="preserve">STEP_piezas/A-C06.step</t>
  </si>
  <si>
    <t xml:space="preserve">4 agujeros Ø4,5 para los silentblocks</t>
  </si>
  <si>
    <t xml:space="preserve">A-C07</t>
  </si>
  <si>
    <t xml:space="preserve">Guía trasera izquierda</t>
  </si>
  <si>
    <t xml:space="preserve">DXF_corte/A-C07.dxf</t>
  </si>
  <si>
    <t xml:space="preserve">STEP_piezas/A-C07.step</t>
  </si>
  <si>
    <t xml:space="preserve">Pletina vertical soldada a la trasera; un tope de goma en su canto delantero</t>
  </si>
  <si>
    <t xml:space="preserve">A-C08</t>
  </si>
  <si>
    <t xml:space="preserve">Guía trasera derecha</t>
  </si>
  <si>
    <t xml:space="preserve">DXF_corte/A-C08.dxf</t>
  </si>
  <si>
    <t xml:space="preserve">STEP_piezas/A-C08.step</t>
  </si>
  <si>
    <t xml:space="preserve">A-T01</t>
  </si>
  <si>
    <t xml:space="preserve">Tapa interior plana (antipolvo, deslizante)</t>
  </si>
  <si>
    <t xml:space="preserve">DXF_corte/A-T01.dxf</t>
  </si>
  <si>
    <t xml:space="preserve">STEP_piezas/A-T01.step</t>
  </si>
  <si>
    <t xml:space="preserve">Chapa lisa sin agujeros. Entra deslizando por la ranura del lateral derecho, apoya en los salientes y hace tope en el lateral izquierdo; queda a ras por fuera. Con la tapa cerrada el faldón derecho tapa la ranura. Para sacarla: abrir la tapa, empujar con el dedo desde la muesca y tirar hacia la derecha (hacen falta ~23 cm libres a ese lado)</t>
  </si>
  <si>
    <t xml:space="preserve">A-C09</t>
  </si>
  <si>
    <t xml:space="preserve">Saliente delantero (tapa interior)</t>
  </si>
  <si>
    <t xml:space="preserve">DXF_corte/A-C09.dxf</t>
  </si>
  <si>
    <t xml:space="preserve">STEP_piezas/A-C09.step</t>
  </si>
  <si>
    <t xml:space="preserve">Soldado a la cara interior del panel frontal; 5 mm de vuelo. Hace de guía de la tapa interior</t>
  </si>
  <si>
    <t xml:space="preserve">A-C10</t>
  </si>
  <si>
    <t xml:space="preserve">Saliente trasero (tapa interior)</t>
  </si>
  <si>
    <t xml:space="preserve">DXF_corte/A-C10.dxf</t>
  </si>
  <si>
    <t xml:space="preserve">STEP_piezas/A-C10.step</t>
  </si>
  <si>
    <t xml:space="preserve">Soldado a la trasera; 12.5 mm de vuelo. Hace de guía de la tapa interior</t>
  </si>
  <si>
    <t xml:space="preserve">A-C11</t>
  </si>
  <si>
    <t xml:space="preserve">Saliente izquierdo 1 (tapa interior)</t>
  </si>
  <si>
    <t xml:space="preserve">DXF_corte/A-C11.dxf</t>
  </si>
  <si>
    <t xml:space="preserve">STEP_piezas/A-C11.step</t>
  </si>
  <si>
    <t xml:space="preserve">Soldado al lateral izquierdo; 2,5 mm de vuelo (deja pasar el cajón y sus topes)</t>
  </si>
  <si>
    <t xml:space="preserve">A-C12</t>
  </si>
  <si>
    <t xml:space="preserve">Saliente izquierdo 2 (tapa interior)</t>
  </si>
  <si>
    <t xml:space="preserve">DXF_corte/A-C12.dxf</t>
  </si>
  <si>
    <t xml:space="preserve">STEP_piezas/A-C12.step</t>
  </si>
  <si>
    <t xml:space="preserve">A-T02</t>
  </si>
  <si>
    <t xml:space="preserve">Tapa superior</t>
  </si>
  <si>
    <t xml:space="preserve">DXF_corte/A-T02.dxf</t>
  </si>
  <si>
    <t xml:space="preserve">STEP_piezas/A-T02.step</t>
  </si>
  <si>
    <t xml:space="preserve">Abre hacia la izquierda con bisagra de piano remachada; sobresale 2 mm por la derecha para el faldón derecho</t>
  </si>
  <si>
    <t xml:space="preserve">A-T03</t>
  </si>
  <si>
    <t xml:space="preserve">Faldón delantero de la tapa</t>
  </si>
  <si>
    <t xml:space="preserve">DXF_corte/A-T03.dxf</t>
  </si>
  <si>
    <t xml:space="preserve">STEP_piezas/A-T03.step</t>
  </si>
  <si>
    <t xml:space="preserve">Taladro Ø18 de la cerradura; soldado a la tapa y al faldón derecho</t>
  </si>
  <si>
    <t xml:space="preserve">A-T04</t>
  </si>
  <si>
    <t xml:space="preserve">Faldón derecho de la tapa</t>
  </si>
  <si>
    <t xml:space="preserve">DXF_corte/A-T04.dxf</t>
  </si>
  <si>
    <t xml:space="preserve">STEP_piezas/A-T04.step</t>
  </si>
  <si>
    <t xml:space="preserve">Soldado bajo el canto derecho de la tapa. Cerrada, tapa por fuera la ranura de la tapa interior y la de la leva: la tapa interior no se puede sacar sin abrir con llave</t>
  </si>
  <si>
    <t xml:space="preserve">A-T05</t>
  </si>
  <si>
    <t xml:space="preserve">Pestaña de tope de apertura</t>
  </si>
  <si>
    <t xml:space="preserve">Acero DC01 3 mm</t>
  </si>
  <si>
    <t xml:space="preserve">DXF_corte/A-T05.dxf</t>
  </si>
  <si>
    <t xml:space="preserve">STEP_piezas/A-T05.step</t>
  </si>
  <si>
    <t xml:space="preserve">Soldada sobre la tapa, delante de la bisagra; al abrir ~105° apoya en el lateral y la tapa se queda abierta</t>
  </si>
  <si>
    <t xml:space="preserve">A-P01</t>
  </si>
  <si>
    <t xml:space="preserve">Fondo</t>
  </si>
  <si>
    <t xml:space="preserve">Cajón de pajitas</t>
  </si>
  <si>
    <t xml:space="preserve">DXF_corte/A-P01.dxf</t>
  </si>
  <si>
    <t xml:space="preserve">STEP_piezas/A-P01.step</t>
  </si>
  <si>
    <t xml:space="preserve">A-P02</t>
  </si>
  <si>
    <t xml:space="preserve">Delantera (3 ventanas)</t>
  </si>
  <si>
    <t xml:space="preserve">DXF_corte/A-P02.dxf</t>
  </si>
  <si>
    <t xml:space="preserve">STEP_piezas/A-P02.step</t>
  </si>
  <si>
    <t xml:space="preserve">Ventanas alineadas con las ranuras del panel</t>
  </si>
  <si>
    <t xml:space="preserve">A-P03</t>
  </si>
  <si>
    <t xml:space="preserve">DXF_corte/A-P03.dxf</t>
  </si>
  <si>
    <t xml:space="preserve">STEP_piezas/A-P03.step</t>
  </si>
  <si>
    <t xml:space="preserve">A-P04</t>
  </si>
  <si>
    <t xml:space="preserve">Extremo derecho</t>
  </si>
  <si>
    <t xml:space="preserve">DXF_corte/A-P04.dxf</t>
  </si>
  <si>
    <t xml:space="preserve">STEP_piezas/A-P04.step</t>
  </si>
  <si>
    <t xml:space="preserve">A-P05</t>
  </si>
  <si>
    <t xml:space="preserve">Tapa (cierra el hueco del lateral izquierdo)</t>
  </si>
  <si>
    <t xml:space="preserve">DXF_corte/A-P05.dxf</t>
  </si>
  <si>
    <t xml:space="preserve">STEP_piezas/A-P05.step</t>
  </si>
  <si>
    <t xml:space="preserve">Sin tirador: se tira de las anillas de los candados</t>
  </si>
  <si>
    <t xml:space="preserve">A-P06</t>
  </si>
  <si>
    <t xml:space="preserve">Separador 1</t>
  </si>
  <si>
    <t xml:space="preserve">DXF_corte/A-P06.dxf</t>
  </si>
  <si>
    <t xml:space="preserve">STEP_piezas/A-P06.step</t>
  </si>
  <si>
    <t xml:space="preserve">A-P07</t>
  </si>
  <si>
    <t xml:space="preserve">Separador 2</t>
  </si>
  <si>
    <t xml:space="preserve">DXF_corte/A-P07.dxf</t>
  </si>
  <si>
    <t xml:space="preserve">STEP_piezas/A-P07.step</t>
  </si>
  <si>
    <t xml:space="preserve">A-C13</t>
  </si>
  <si>
    <t xml:space="preserve">Anilla para candado 1 (lateral)</t>
  </si>
  <si>
    <t xml:space="preserve">DXF_corte/A-C13.dxf</t>
  </si>
  <si>
    <t xml:space="preserve">STEP_piezas/A-C13.step</t>
  </si>
  <si>
    <t xml:space="preserve">Soldada a la franja fija del lateral izquierdo, delante del hueco del cajón. Agujero Ø9</t>
  </si>
  <si>
    <t xml:space="preserve">A-P08</t>
  </si>
  <si>
    <t xml:space="preserve">Anilla para candado 1 (tapa del cajón)</t>
  </si>
  <si>
    <t xml:space="preserve">DXF_corte/A-P08.dxf</t>
  </si>
  <si>
    <t xml:space="preserve">STEP_piezas/A-P08.step</t>
  </si>
  <si>
    <t xml:space="preserve">Soldada a la tapa del cajón; vuela por delante y queda encima de la anilla fija. También sirve de tirador</t>
  </si>
  <si>
    <t xml:space="preserve">A-C14</t>
  </si>
  <si>
    <t xml:space="preserve">Anilla para candado 2 (lateral)</t>
  </si>
  <si>
    <t xml:space="preserve">DXF_corte/A-C14.dxf</t>
  </si>
  <si>
    <t xml:space="preserve">STEP_piezas/A-C14.step</t>
  </si>
  <si>
    <t xml:space="preserve">A-P09</t>
  </si>
  <si>
    <t xml:space="preserve">Anilla para candado 2 (tapa del cajón)</t>
  </si>
  <si>
    <t xml:space="preserve">DXF_corte/A-P09.dxf</t>
  </si>
  <si>
    <t xml:space="preserve">STEP_piezas/A-P09.step</t>
  </si>
  <si>
    <t xml:space="preserve">A-K01</t>
  </si>
  <si>
    <t xml:space="preserve">Base del cajón</t>
  </si>
  <si>
    <t xml:space="preserve">Cajón de componentes</t>
  </si>
  <si>
    <t xml:space="preserve">DXF_corte/A-K01.dxf</t>
  </si>
  <si>
    <t xml:space="preserve">STEP_piezas/A-K01.step</t>
  </si>
  <si>
    <t xml:space="preserve">4 agujeros Ø6 que encajan en los silentblocks; rejilla bajo la fuente</t>
  </si>
  <si>
    <t xml:space="preserve">A-K02</t>
  </si>
  <si>
    <t xml:space="preserve">Frente del cajón</t>
  </si>
  <si>
    <t xml:space="preserve">DXF_corte/A-K02.dxf</t>
  </si>
  <si>
    <t xml:space="preserve">STEP_piezas/A-K02.step</t>
  </si>
  <si>
    <t xml:space="preserve">Sujeta pantalla, Solo y cámara a ras del panel; tornillos M2 avellanados de la cámara</t>
  </si>
  <si>
    <t xml:space="preserve">A-K03</t>
  </si>
  <si>
    <t xml:space="preserve">Trasera del cajón</t>
  </si>
  <si>
    <t xml:space="preserve">DXF_corte/A-K03.dxf</t>
  </si>
  <si>
    <t xml:space="preserve">STEP_piezas/A-K03.step</t>
  </si>
  <si>
    <t xml:space="preserve">Taladros de la fuente (M3) y de la Pi (M2,5); pares de ranuras para bridas</t>
  </si>
  <si>
    <t xml:space="preserve">A-K04</t>
  </si>
  <si>
    <t xml:space="preserve">Lateral izquierdo del cajón</t>
  </si>
  <si>
    <t xml:space="preserve">DXF_corte/A-K04.dxf</t>
  </si>
  <si>
    <t xml:space="preserve">STEP_piezas/A-K04.step</t>
  </si>
  <si>
    <t xml:space="preserve">Paso del tubo de escape Ø12 con pasacables y rejillas</t>
  </si>
  <si>
    <t xml:space="preserve">A-K05</t>
  </si>
  <si>
    <t xml:space="preserve">Lateral derecho del cajón</t>
  </si>
  <si>
    <t xml:space="preserve">DXF_corte/A-K05.dxf</t>
  </si>
  <si>
    <t xml:space="preserve">STEP_piezas/A-K05.step</t>
  </si>
  <si>
    <t xml:space="preserve">Recorte de la toma C14 (47,9 × 28,2) y 2 taladros M3</t>
  </si>
  <si>
    <t xml:space="preserve">A-K06</t>
  </si>
  <si>
    <t xml:space="preserve">Asidero izquierdo</t>
  </si>
  <si>
    <t xml:space="preserve">DXF_corte/A-K06.dxf</t>
  </si>
  <si>
    <t xml:space="preserve">STEP_piezas/A-K06.step</t>
  </si>
  <si>
    <t xml:space="preserve">Soldado por dentro del lateral, a ras del borde. Agujero Ø22 para meter dos dedos y levantar el cajón</t>
  </si>
  <si>
    <t xml:space="preserve">A-K07</t>
  </si>
  <si>
    <t xml:space="preserve">Asidero derecho</t>
  </si>
  <si>
    <t xml:space="preserve">DXF_corte/A-K07.dxf</t>
  </si>
  <si>
    <t xml:space="preserve">STEP_piezas/A-K07.step</t>
  </si>
  <si>
    <t xml:space="preserve">A-K08</t>
  </si>
  <si>
    <t xml:space="preserve">Tapa de la caja de red (230 V)</t>
  </si>
  <si>
    <t xml:space="preserve">DXF_corte/A-K08.dxf</t>
  </si>
  <si>
    <t xml:space="preserve">STEP_piezas/A-K08.step</t>
  </si>
  <si>
    <t xml:space="preserve">Cierra la fuente y la C14 por arriba; pasacables para 5 V y tierra; encima van WAGO, fusibles y bornes USB</t>
  </si>
  <si>
    <t xml:space="preserve">A-K09</t>
  </si>
  <si>
    <t xml:space="preserve">Frente de la caja de red</t>
  </si>
  <si>
    <t xml:space="preserve">DXF_corte/A-K09.dxf</t>
  </si>
  <si>
    <t xml:space="preserve">STEP_piezas/A-K09.step</t>
  </si>
  <si>
    <t xml:space="preserve">Rejilla de ventilación abajo</t>
  </si>
  <si>
    <t xml:space="preserve">A-K10</t>
  </si>
  <si>
    <t xml:space="preserve">Lateral de la caja de red</t>
  </si>
  <si>
    <t xml:space="preserve">DXF_corte/A-K10.dxf</t>
  </si>
  <si>
    <t xml:space="preserve">STEP_piezas/A-K10.step</t>
  </si>
  <si>
    <t xml:space="preserve">Tapa, frente y lateral de la caja de red se sueldan entre sí: forman una tapa en U que se quita con 2 tuercas M4</t>
  </si>
  <si>
    <t xml:space="preserve">A-K11</t>
  </si>
  <si>
    <t xml:space="preserve">Pestaña de fijación de la caja de red (derecha)</t>
  </si>
  <si>
    <t xml:space="preserve">DXF_corte/A-K11.dxf</t>
  </si>
  <si>
    <t xml:space="preserve">STEP_piezas/A-K11.step</t>
  </si>
  <si>
    <t xml:space="preserve">Soldada al borde inferior de la tapa en U; taladro Ø4,5 para el espárrago M4 de la base</t>
  </si>
  <si>
    <t xml:space="preserve">A-K12</t>
  </si>
  <si>
    <t xml:space="preserve">Pestaña de fijación de la caja de red (izquierda)</t>
  </si>
  <si>
    <t xml:space="preserve">DXF_corte/A-K12.dxf</t>
  </si>
  <si>
    <t xml:space="preserve">STEP_piezas/A-K12.step</t>
  </si>
  <si>
    <t xml:space="preserve">A-S01</t>
  </si>
  <si>
    <t xml:space="preserve">Pletina inferior de la pantalla</t>
  </si>
  <si>
    <t xml:space="preserve">Soportes</t>
  </si>
  <si>
    <t xml:space="preserve">DXF_corte/A-S01.dxf</t>
  </si>
  <si>
    <t xml:space="preserve">STEP_piezas/A-S01.step</t>
  </si>
  <si>
    <t xml:space="preserve">Aprieta el borde del vidrio contra el frente (con burlete de goma)</t>
  </si>
  <si>
    <t xml:space="preserve">A-S02</t>
  </si>
  <si>
    <t xml:space="preserve">Pletina superior de la pantalla</t>
  </si>
  <si>
    <t xml:space="preserve">DXF_corte/A-S02.dxf</t>
  </si>
  <si>
    <t xml:space="preserve">STEP_piezas/A-S02.step</t>
  </si>
  <si>
    <t xml:space="preserve">A-S03</t>
  </si>
  <si>
    <t xml:space="preserve">Repisa del Solo</t>
  </si>
  <si>
    <t xml:space="preserve">DXF_corte/A-S03.dxf</t>
  </si>
  <si>
    <t xml:space="preserve">STEP_piezas/A-S03.step</t>
  </si>
  <si>
    <t xml:space="preserve">Soldada al frente del cajón; muesca de 16 mm para la clavija USB-C</t>
  </si>
  <si>
    <t xml:space="preserve">A-S04</t>
  </si>
  <si>
    <t xml:space="preserve">Contraplaca del Solo</t>
  </si>
  <si>
    <t xml:space="preserve">DXF_corte/A-S04.dxf</t>
  </si>
  <si>
    <t xml:space="preserve">STEP_piezas/A-S04.step</t>
  </si>
  <si>
    <t xml:space="preserve">Aprieta el Solo por detrás con goma de 2 mm</t>
  </si>
  <si>
    <t xml:space="preserve">Total</t>
  </si>
  <si>
    <t xml:space="preserve">Diseño A · Compacta — compras (Amazon.es)</t>
  </si>
  <si>
    <t xml:space="preserve">Celdas amarillas: paquetes a pedir (revisa cuántas unidades trae cada anuncio). Precios del anuncio consultados el 19–21/10/2026.</t>
  </si>
  <si>
    <t xml:space="preserve">Ref.</t>
  </si>
  <si>
    <t xml:space="preserve">Artículo</t>
  </si>
  <si>
    <t xml:space="preserve">ASIN</t>
  </si>
  <si>
    <t xml:space="preserve">Enlace</t>
  </si>
  <si>
    <t xml:space="preserve">Uds. por máquina</t>
  </si>
  <si>
    <t xml:space="preserve">Uds. por anuncio</t>
  </si>
  <si>
    <t xml:space="preserve">Paquetes a pedir</t>
  </si>
  <si>
    <t xml:space="preserve">Precio anuncio (€)</t>
  </si>
  <si>
    <t xml:space="preserve">Coste (€)</t>
  </si>
  <si>
    <t xml:space="preserve">Números en el 3D</t>
  </si>
  <si>
    <t xml:space="preserve">E01</t>
  </si>
  <si>
    <t xml:space="preserve">Pantalla GeeekPi 7" 1024×600 EP-0170</t>
  </si>
  <si>
    <t xml:space="preserve">B0CHMBCCJB</t>
  </si>
  <si>
    <t xml:space="preserve">https://www.amazon.es/dp/B0CHMBCCJB</t>
  </si>
  <si>
    <t xml:space="preserve">E01.1</t>
  </si>
  <si>
    <t xml:space="preserve">E02</t>
  </si>
  <si>
    <t xml:space="preserve">SumUp Solo</t>
  </si>
  <si>
    <t xml:space="preserve">B0C9V3LXTF</t>
  </si>
  <si>
    <t xml:space="preserve">https://www.amazon.es/dp/B0C9V3LXTF</t>
  </si>
  <si>
    <t xml:space="preserve">E02.1</t>
  </si>
  <si>
    <t xml:space="preserve">E03</t>
  </si>
  <si>
    <t xml:space="preserve">Raspberry Pi Camera Module 3 (estándar)</t>
  </si>
  <si>
    <t xml:space="preserve">B0BRY6MVXL</t>
  </si>
  <si>
    <t xml:space="preserve">https://www.amazon.es/dp/B0BRY6MVXL</t>
  </si>
  <si>
    <t xml:space="preserve">E03.1</t>
  </si>
  <si>
    <t xml:space="preserve">E04</t>
  </si>
  <si>
    <t xml:space="preserve">Raspberry Pi 3B+</t>
  </si>
  <si>
    <t xml:space="preserve">B0BNJPL4MW</t>
  </si>
  <si>
    <t xml:space="preserve">https://www.amazon.es/dp/B0BNJPL4MW</t>
  </si>
  <si>
    <t xml:space="preserve">E04.1</t>
  </si>
  <si>
    <t xml:space="preserve">E05</t>
  </si>
  <si>
    <t xml:space="preserve">Adaptador Wi-Fi AR9271 con antena</t>
  </si>
  <si>
    <t xml:space="preserve">B0CBW6THN1</t>
  </si>
  <si>
    <t xml:space="preserve">https://www.amazon.es/dp/B0CBW6THN1</t>
  </si>
  <si>
    <t xml:space="preserve">E05.1</t>
  </si>
  <si>
    <t xml:space="preserve">E06</t>
  </si>
  <si>
    <t xml:space="preserve">Fuente Mean Well LRS-50-5</t>
  </si>
  <si>
    <t xml:space="preserve">B06XWRCWZ9</t>
  </si>
  <si>
    <t xml:space="preserve">https://www.amazon.es/dp/B06XWRCWZ9</t>
  </si>
  <si>
    <t xml:space="preserve">E06.1</t>
  </si>
  <si>
    <t xml:space="preserve">E07</t>
  </si>
  <si>
    <t xml:space="preserve">Toma C14 con fusible e interruptor</t>
  </si>
  <si>
    <t xml:space="preserve">B08Z6FCR5Z</t>
  </si>
  <si>
    <t xml:space="preserve">https://www.amazon.es/dp/B08Z6FCR5Z</t>
  </si>
  <si>
    <t xml:space="preserve">E07.1</t>
  </si>
  <si>
    <t xml:space="preserve">E08</t>
  </si>
  <si>
    <t xml:space="preserve">WAGO 221-415 (kit 221)</t>
  </si>
  <si>
    <t xml:space="preserve">B09XB58ZXJ</t>
  </si>
  <si>
    <t xml:space="preserve">https://www.amazon.es/dp/B09XB58ZXJ</t>
  </si>
  <si>
    <t xml:space="preserve">E08.1, E08.2</t>
  </si>
  <si>
    <t xml:space="preserve">E09</t>
  </si>
  <si>
    <t xml:space="preserve">Borne USB-A hembra a tornillo</t>
  </si>
  <si>
    <t xml:space="preserve">B07V86XPL4</t>
  </si>
  <si>
    <t xml:space="preserve">https://www.amazon.es/dp/B07V86XPL4</t>
  </si>
  <si>
    <t xml:space="preserve">E09.1, E09.2</t>
  </si>
  <si>
    <t xml:space="preserve">E10</t>
  </si>
  <si>
    <t xml:space="preserve">Portafusibles en línea mini + fusibles</t>
  </si>
  <si>
    <t xml:space="preserve">B07Q495GQG</t>
  </si>
  <si>
    <t xml:space="preserve">https://www.amazon.es/dp/B07Q495GQG</t>
  </si>
  <si>
    <t xml:space="preserve">E10.1, E10.2, E10.3, E10.4</t>
  </si>
  <si>
    <t xml:space="preserve">E11</t>
  </si>
  <si>
    <t xml:space="preserve">Sensor de alcohol Winsen ZE29A</t>
  </si>
  <si>
    <t xml:space="preserve">B0H8NVXVG5</t>
  </si>
  <si>
    <t xml:space="preserve">https://www.amazon.es/dp/B0H8NVXVG5</t>
  </si>
  <si>
    <t xml:space="preserve">E11.1</t>
  </si>
  <si>
    <t xml:space="preserve">E12</t>
  </si>
  <si>
    <t xml:space="preserve">Alargo RP-SMA 30 cm (pasamuros)</t>
  </si>
  <si>
    <t xml:space="preserve">B0FJRPC7MN</t>
  </si>
  <si>
    <t xml:space="preserve">https://www.amazon.es/dp/B0FJRPC7MN</t>
  </si>
  <si>
    <t xml:space="preserve">E12.1</t>
  </si>
  <si>
    <t xml:space="preserve">E13</t>
  </si>
  <si>
    <t xml:space="preserve">Tubo de silicona 6 mm</t>
  </si>
  <si>
    <t xml:space="preserve">B0D9FJY1SG</t>
  </si>
  <si>
    <t xml:space="preserve">https://www.amazon.es/dp/B0D9FJY1SG</t>
  </si>
  <si>
    <t xml:space="preserve">(no dibujado)</t>
  </si>
  <si>
    <t xml:space="preserve">Un rollo da para varias máquinas (unos 40 cm por máquina)</t>
  </si>
  <si>
    <t xml:space="preserve">E14</t>
  </si>
  <si>
    <t xml:space="preserve">Conector en T para tubo 6 mm</t>
  </si>
  <si>
    <t xml:space="preserve">B0GT5XPRWK</t>
  </si>
  <si>
    <t xml:space="preserve">https://www.amazon.es/dp/B0GT5XPRWK</t>
  </si>
  <si>
    <t xml:space="preserve">Dos T: toma de presión y toma de alcohol</t>
  </si>
  <si>
    <t xml:space="preserve">E15</t>
  </si>
  <si>
    <t xml:space="preserve">Reductor de latón 6→4 mm (restricción)</t>
  </si>
  <si>
    <t xml:space="preserve">B0H38RDVZR</t>
  </si>
  <si>
    <t xml:space="preserve">https://www.amazon.es/dp/B0H38RDVZR</t>
  </si>
  <si>
    <t xml:space="preserve">Reductor de latón entre las dos T: es la restricción que crea la presión</t>
  </si>
  <si>
    <t xml:space="preserve">E16</t>
  </si>
  <si>
    <t xml:space="preserve">Cable HDMI 30 cm acodado 90°</t>
  </si>
  <si>
    <t xml:space="preserve">B09XHW8C8W</t>
  </si>
  <si>
    <t xml:space="preserve">https://www.amazon.es/dp/B09XHW8C8W</t>
  </si>
  <si>
    <t xml:space="preserve">E16.1</t>
  </si>
  <si>
    <t xml:space="preserve">Si el cable que trae la pantalla ya es acodado, este sobra</t>
  </si>
  <si>
    <t xml:space="preserve">E17</t>
  </si>
  <si>
    <t xml:space="preserve">Cable USB-A → USB-C acodado 30 cm</t>
  </si>
  <si>
    <t xml:space="preserve">B0C8FS5FV2</t>
  </si>
  <si>
    <t xml:space="preserve">https://www.amazon.es/dp/B0C8FS5FV2</t>
  </si>
  <si>
    <t xml:space="preserve">E17.1</t>
  </si>
  <si>
    <t xml:space="preserve">Uno para la pantalla y otro para el Solo</t>
  </si>
  <si>
    <t xml:space="preserve">E18</t>
  </si>
  <si>
    <t xml:space="preserve">Latiguillo micro-USB 22 AWG</t>
  </si>
  <si>
    <t xml:space="preserve">B0DP2NT8LY</t>
  </si>
  <si>
    <t xml:space="preserve">https://www.amazon.es/dp/B0DP2NT8LY</t>
  </si>
  <si>
    <t xml:space="preserve">Se corta a 15 cm o menos</t>
  </si>
  <si>
    <t xml:space="preserve">E19</t>
  </si>
  <si>
    <t xml:space="preserve">Cable JST-XH 4 pines (sensor)</t>
  </si>
  <si>
    <t xml:space="preserve">B0CBWZNP6Z</t>
  </si>
  <si>
    <t xml:space="preserve">https://www.amazon.es/dp/B0CBWZNP6Z</t>
  </si>
  <si>
    <t xml:space="preserve">UART y 5 V del sensor</t>
  </si>
  <si>
    <t xml:space="preserve">E20</t>
  </si>
  <si>
    <t xml:space="preserve">Fusibles mini 2 A / 3 A (kit)</t>
  </si>
  <si>
    <t xml:space="preserve">B0BMGBBPTT</t>
  </si>
  <si>
    <t xml:space="preserve">https://www.amazon.es/dp/B0BMGBBPTT</t>
  </si>
  <si>
    <t xml:space="preserve">Fusibles de los 4 ramales: 3 A (Pi, Solo, pantalla) y 2 A (sensor)</t>
  </si>
  <si>
    <t xml:space="preserve">E21</t>
  </si>
  <si>
    <t xml:space="preserve">microSD SanDisk High Endurance 32 GB</t>
  </si>
  <si>
    <t xml:space="preserve">B07P14QHB7</t>
  </si>
  <si>
    <t xml:space="preserve">https://www.amazon.es/dp/B07P14QHB7</t>
  </si>
  <si>
    <t xml:space="preserve">E22</t>
  </si>
  <si>
    <t xml:space="preserve">Cable Schuko → C13</t>
  </si>
  <si>
    <t xml:space="preserve">B00AOAJAUC</t>
  </si>
  <si>
    <t xml:space="preserve">https://www.amazon.es/dp/B00AOAJAUC</t>
  </si>
  <si>
    <t xml:space="preserve">Cable de red del bar a la máquina</t>
  </si>
  <si>
    <t xml:space="preserve">H01</t>
  </si>
  <si>
    <t xml:space="preserve">Silentblock M4 10×10 (4 uds.)</t>
  </si>
  <si>
    <t xml:space="preserve">B07QK5M755</t>
  </si>
  <si>
    <t xml:space="preserve">https://www.amazon.es/dp/B07QK5M755</t>
  </si>
  <si>
    <t xml:space="preserve">H01.1, H01.2, H01.3, H01.4</t>
  </si>
  <si>
    <t xml:space="preserve">H02</t>
  </si>
  <si>
    <t xml:space="preserve">Topes de goma adhesivos 10×3 mm</t>
  </si>
  <si>
    <t xml:space="preserve">B0CHNRVG2Z</t>
  </si>
  <si>
    <t xml:space="preserve">https://www.amazon.es/dp/B0CHNRVG2Z</t>
  </si>
  <si>
    <t xml:space="preserve">H02.1, H02.2, H02.3, H02.4, H02.5, H02.6, H02.7, H02.8, H02.9, H02.10, H02.11, H02.12, H02.13, H02.14, H02.15, H02.16</t>
  </si>
  <si>
    <t xml:space="preserve">H03</t>
  </si>
  <si>
    <t xml:space="preserve">Cerradura de leva 16 mm con llave</t>
  </si>
  <si>
    <t xml:space="preserve">B0CRRBYJ2Y</t>
  </si>
  <si>
    <t xml:space="preserve">https://www.amazon.es/dp/B0CRRBYJ2Y</t>
  </si>
  <si>
    <t xml:space="preserve">H03.1</t>
  </si>
  <si>
    <t xml:space="preserve">La leva recta se corta a 20,5 mm (ver documento)</t>
  </si>
  <si>
    <t xml:space="preserve">H04</t>
  </si>
  <si>
    <t xml:space="preserve">Bisagra de piano inox 30 cm</t>
  </si>
  <si>
    <t xml:space="preserve">B0D8KDZLPN</t>
  </si>
  <si>
    <t xml:space="preserve">https://www.amazon.es/dp/B0D8KDZLPN</t>
  </si>
  <si>
    <t xml:space="preserve">H04.1, H04.2</t>
  </si>
  <si>
    <t xml:space="preserve">H06</t>
  </si>
  <si>
    <t xml:space="preserve">Espárrago M4×10 soldable (PC)</t>
  </si>
  <si>
    <t xml:space="preserve">B0GSCLY4D7</t>
  </si>
  <si>
    <t xml:space="preserve">https://www.amazon.es/dp/B0GSCLY4D7</t>
  </si>
  <si>
    <t xml:space="preserve">H06.1, H06.2</t>
  </si>
  <si>
    <t xml:space="preserve">H07</t>
  </si>
  <si>
    <t xml:space="preserve">Espárrago M4×20 soldable (soportes y tierra)</t>
  </si>
  <si>
    <t xml:space="preserve">H07.1, H07.2, H07.3, H07.4, H07.5, H07.6, H07.7, H07.8</t>
  </si>
  <si>
    <t xml:space="preserve">H08</t>
  </si>
  <si>
    <t xml:space="preserve">Separadores M2 nylon (cámara)</t>
  </si>
  <si>
    <t xml:space="preserve">B0FVLLN788</t>
  </si>
  <si>
    <t xml:space="preserve">https://www.amazon.es/dp/B0FVLLN788</t>
  </si>
  <si>
    <t xml:space="preserve">Separadores de la cámara (dibujados con la cámara)</t>
  </si>
  <si>
    <t xml:space="preserve">H09</t>
  </si>
  <si>
    <t xml:space="preserve">Separadores M2.5 nylon (Pi)</t>
  </si>
  <si>
    <t xml:space="preserve">B0G4G7WQRM</t>
  </si>
  <si>
    <t xml:space="preserve">https://www.amazon.es/dp/B0G4G7WQRM</t>
  </si>
  <si>
    <t xml:space="preserve">H09.1, H09.2, H09.3, H09.4, H09.5, H09.6, H09.7, H09.8, H09.9, H09.10</t>
  </si>
  <si>
    <t xml:space="preserve">H10</t>
  </si>
  <si>
    <t xml:space="preserve">Pasacables de goma (kit)</t>
  </si>
  <si>
    <t xml:space="preserve">B0B5DLWVZ2</t>
  </si>
  <si>
    <t xml:space="preserve">https://www.amazon.es/dp/B0B5DLWVZ2</t>
  </si>
  <si>
    <t xml:space="preserve">H10.1, H10.2, H10.3</t>
  </si>
  <si>
    <t xml:space="preserve">H11</t>
  </si>
  <si>
    <t xml:space="preserve">Placa de policarbonato 5 mm 1000×1000</t>
  </si>
  <si>
    <t xml:space="preserve">B08CGMX1B6</t>
  </si>
  <si>
    <t xml:space="preserve">https://www.amazon.es/dp/B08CGMX1B6</t>
  </si>
  <si>
    <t xml:space="preserve">Se cortan los frontales de policarbonato (pieza V01)</t>
  </si>
  <si>
    <t xml:space="preserve">H12</t>
  </si>
  <si>
    <t xml:space="preserve">Tuercas M4 inox (del surtido de tornillería M06)</t>
  </si>
  <si>
    <t xml:space="preserve">H12.1, H12.2, H12.3, H12.4, H12.5, H12.6, H12.7, H12.8, H12.9, H12.10</t>
  </si>
  <si>
    <t xml:space="preserve">Sin anuncio fijado: buscar «tuerca ciega M4 inox» (DIN 1587)</t>
  </si>
  <si>
    <t xml:space="preserve">H13</t>
  </si>
  <si>
    <t xml:space="preserve">Perfil de goma en U para cantos</t>
  </si>
  <si>
    <t xml:space="preserve">B0FPQMRG8J</t>
  </si>
  <si>
    <t xml:space="preserve">https://www.amazon.es/dp/B0FPQMRG8J</t>
  </si>
  <si>
    <t xml:space="preserve">Perfil de goma en los cantos del hueco del cajón de pajitas</t>
  </si>
  <si>
    <t xml:space="preserve">H14</t>
  </si>
  <si>
    <t xml:space="preserve">Tirafondo hexagonal 6 × 60 DIN 571 (30 uds.)</t>
  </si>
  <si>
    <t xml:space="preserve">B0B61JZ25M</t>
  </si>
  <si>
    <t xml:space="preserve">https://www.amazon.es/dp/B0B61JZ25M</t>
  </si>
  <si>
    <t xml:space="preserve">18 tirafondos a la pared (no dibujados), por los agujeros Ø6,5 de la trasera; se aprietan desde dentro con llave de vaso de 10</t>
  </si>
  <si>
    <t xml:space="preserve">H15</t>
  </si>
  <si>
    <t xml:space="preserve">Arandela ancha M6 DIN 9021 inox (25 uds.)</t>
  </si>
  <si>
    <t xml:space="preserve">B07Q5TVVMJ</t>
  </si>
  <si>
    <t xml:space="preserve">https://www.amazon.es/dp/B07Q5TVVMJ</t>
  </si>
  <si>
    <t xml:space="preserve">Una por tirafondo</t>
  </si>
  <si>
    <t xml:space="preserve">H16</t>
  </si>
  <si>
    <t xml:space="preserve">Taco de nylon fischer SX Plus 8 × 40 (100 uds.)</t>
  </si>
  <si>
    <t xml:space="preserve">B0C43ZLBNM</t>
  </si>
  <si>
    <t xml:space="preserve">https://www.amazon.es/dp/B0C43ZLBNM</t>
  </si>
  <si>
    <t xml:space="preserve">Uno por tirafondo; broca de 8 mm y 60 mm de profundidad</t>
  </si>
  <si>
    <t xml:space="preserve">H17</t>
  </si>
  <si>
    <t xml:space="preserve">Tornillo de seguridad Torx con pin M4 × 16, cabeza plana, inox (20 uds.)</t>
  </si>
  <si>
    <t xml:space="preserve">B0GGSDJMYV</t>
  </si>
  <si>
    <t xml:space="preserve">https://www.amazon.es/dp/B0GGSDJMYV</t>
  </si>
  <si>
    <t xml:space="preserve">H17.1, H17.2, H17.3, H17.4, H17.5, H17.6, H17.7, H17.8, H17.9, H17.10</t>
  </si>
  <si>
    <t xml:space="preserve">Hace falta una punta Torx T20 de seguridad (con agujero); suele venir en los juegos de puntas</t>
  </si>
  <si>
    <t xml:space="preserve">H18</t>
  </si>
  <si>
    <t xml:space="preserve">Candado ABUS 65/30 de latón, pack de 2 con la misma llave</t>
  </si>
  <si>
    <t xml:space="preserve">B01H9Z6HB4</t>
  </si>
  <si>
    <t xml:space="preserve">https://www.amazon.es/dp/B01H9Z6HB4</t>
  </si>
  <si>
    <t xml:space="preserve">H18.1, H18.2</t>
  </si>
  <si>
    <t xml:space="preserve">M01</t>
  </si>
  <si>
    <t xml:space="preserve">Fusibles cerámicos 5×20 T2,5A (para la C14)</t>
  </si>
  <si>
    <t xml:space="preserve">B0956XYTN6</t>
  </si>
  <si>
    <t xml:space="preserve">https://www.amazon.es/dp/B0956XYTN6</t>
  </si>
  <si>
    <t xml:space="preserve">(material de montaje)</t>
  </si>
  <si>
    <t xml:space="preserve">Cambiar el de 10 A que trae la C14</t>
  </si>
  <si>
    <t xml:space="preserve">M02</t>
  </si>
  <si>
    <t xml:space="preserve">Cable 2×0,75 mm² rojo/negro, 10 m</t>
  </si>
  <si>
    <t xml:space="preserve">B0D12QPF4Y</t>
  </si>
  <si>
    <t xml:space="preserve">https://www.amazon.es/dp/B0D12QPF4Y</t>
  </si>
  <si>
    <t xml:space="preserve">Troncal de 5 V y ramas</t>
  </si>
  <si>
    <t xml:space="preserve">M03</t>
  </si>
  <si>
    <t xml:space="preserve">Manguera H05VV-F 3G1,5 mm², 5 m</t>
  </si>
  <si>
    <t xml:space="preserve">B07BDHJGKG</t>
  </si>
  <si>
    <t xml:space="preserve">https://www.amazon.es/dp/B07BDHJGKG</t>
  </si>
  <si>
    <t xml:space="preserve">230 V y tierra (marrón, azul y verde-amarillo)</t>
  </si>
  <si>
    <t xml:space="preserve">M04</t>
  </si>
  <si>
    <t xml:space="preserve">Terminales de ojal M4 (25 uds.)</t>
  </si>
  <si>
    <t xml:space="preserve">B0CVW7Y2P4</t>
  </si>
  <si>
    <t xml:space="preserve">https://www.amazon.es/dp/B0CVW7Y2P4</t>
  </si>
  <si>
    <t xml:space="preserve">Espárragos de tierra</t>
  </si>
  <si>
    <t xml:space="preserve">M05</t>
  </si>
  <si>
    <t xml:space="preserve">Arandelas dentadas M4 (200 uds.)</t>
  </si>
  <si>
    <t xml:space="preserve">B0B77J5FZS</t>
  </si>
  <si>
    <t xml:space="preserve">https://www.amazon.es/dp/B0B77J5FZS</t>
  </si>
  <si>
    <t xml:space="preserve">Bajo cada ojal de tierra</t>
  </si>
  <si>
    <t xml:space="preserve">M06</t>
  </si>
  <si>
    <t xml:space="preserve">Tornillería M3–M6 inox (surtido)</t>
  </si>
  <si>
    <t xml:space="preserve">B0BGRY2JGX</t>
  </si>
  <si>
    <t xml:space="preserve">https://www.amazon.es/dp/B0BGRY2JGX</t>
  </si>
  <si>
    <t xml:space="preserve">M3 fuente y bornes, M4 tuercas</t>
  </si>
  <si>
    <t xml:space="preserve">M07</t>
  </si>
  <si>
    <t xml:space="preserve">Terminales faston aislados (kit)</t>
  </si>
  <si>
    <t xml:space="preserve">B0B4H54KPS</t>
  </si>
  <si>
    <t xml:space="preserve">https://www.amazon.es/dp/B0B4H54KPS</t>
  </si>
  <si>
    <t xml:space="preserve">C14 y conector rápido del puente de tierra</t>
  </si>
  <si>
    <t xml:space="preserve">M08</t>
  </si>
  <si>
    <t xml:space="preserve">Cables Dupont (120 uds.)</t>
  </si>
  <si>
    <t xml:space="preserve">B01NGTXASZ</t>
  </si>
  <si>
    <t xml:space="preserve">https://www.amazon.es/dp/B01NGTXASZ</t>
  </si>
  <si>
    <t xml:space="preserve">Pines de la Pi</t>
  </si>
  <si>
    <t xml:space="preserve">M09</t>
  </si>
  <si>
    <t xml:space="preserve">Crimpadora + punteras (herramienta)</t>
  </si>
  <si>
    <t xml:space="preserve">B0FQP6KDL4</t>
  </si>
  <si>
    <t xml:space="preserve">https://www.amazon.es/dp/B0FQP6KDL4</t>
  </si>
  <si>
    <t xml:space="preserve">Herramienta: solo la primera vez</t>
  </si>
  <si>
    <t xml:space="preserve">Sin herramienta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</si>
</sst>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#,##0.00"/>
    <numFmt numFmtId="168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1F5FB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3B46"/>
        <bgColor rgb="FF333300"/>
      </patternFill>
    </fill>
    <fill>
      <patternFill patternType="solid">
        <fgColor rgb="FFE6EBEF"/>
        <bgColor rgb="FFFFFFFF"/>
      </patternFill>
    </fill>
    <fill>
      <patternFill patternType="solid">
        <fgColor rgb="FFFFF2B3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FD6"/>
      </left>
      <right style="thin">
        <color rgb="FFC6CFD6"/>
      </right>
      <top style="thin">
        <color rgb="FFC6CFD6"/>
      </top>
      <bottom style="thin">
        <color rgb="FFC6CF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FD6"/>
      <rgbColor rgb="FF808080"/>
      <rgbColor rgb="FF9999FF"/>
      <rgbColor rgb="FF993366"/>
      <rgbColor rgb="FFFFF2B3"/>
      <rgbColor rgb="FFE6EBEF"/>
      <rgbColor rgb="FF660066"/>
      <rgbColor rgb="FFFF8080"/>
      <rgbColor rgb="FF1F5FB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amazon.es/dp/B0CHMBCCJB" TargetMode="External"/><Relationship Id="rId2" Type="http://schemas.openxmlformats.org/officeDocument/2006/relationships/hyperlink" Target="https://www.amazon.es/dp/B0C9V3LXTF" TargetMode="External"/><Relationship Id="rId3" Type="http://schemas.openxmlformats.org/officeDocument/2006/relationships/hyperlink" Target="https://www.amazon.es/dp/B0BRY6MVXL" TargetMode="External"/><Relationship Id="rId4" Type="http://schemas.openxmlformats.org/officeDocument/2006/relationships/hyperlink" Target="https://www.amazon.es/dp/B0BNJPL4MW" TargetMode="External"/><Relationship Id="rId5" Type="http://schemas.openxmlformats.org/officeDocument/2006/relationships/hyperlink" Target="https://www.amazon.es/dp/B0CBW6THN1" TargetMode="External"/><Relationship Id="rId6" Type="http://schemas.openxmlformats.org/officeDocument/2006/relationships/hyperlink" Target="https://www.amazon.es/dp/B06XWRCWZ9" TargetMode="External"/><Relationship Id="rId7" Type="http://schemas.openxmlformats.org/officeDocument/2006/relationships/hyperlink" Target="https://www.amazon.es/dp/B08Z6FCR5Z" TargetMode="External"/><Relationship Id="rId8" Type="http://schemas.openxmlformats.org/officeDocument/2006/relationships/hyperlink" Target="https://www.amazon.es/dp/B09XB58ZXJ" TargetMode="External"/><Relationship Id="rId9" Type="http://schemas.openxmlformats.org/officeDocument/2006/relationships/hyperlink" Target="https://www.amazon.es/dp/B07V86XPL4" TargetMode="External"/><Relationship Id="rId10" Type="http://schemas.openxmlformats.org/officeDocument/2006/relationships/hyperlink" Target="https://www.amazon.es/dp/B07Q495GQG" TargetMode="External"/><Relationship Id="rId11" Type="http://schemas.openxmlformats.org/officeDocument/2006/relationships/hyperlink" Target="https://www.amazon.es/dp/B0H8NVXVG5" TargetMode="External"/><Relationship Id="rId12" Type="http://schemas.openxmlformats.org/officeDocument/2006/relationships/hyperlink" Target="https://www.amazon.es/dp/B0FJRPC7MN" TargetMode="External"/><Relationship Id="rId13" Type="http://schemas.openxmlformats.org/officeDocument/2006/relationships/hyperlink" Target="https://www.amazon.es/dp/B0D9FJY1SG" TargetMode="External"/><Relationship Id="rId14" Type="http://schemas.openxmlformats.org/officeDocument/2006/relationships/hyperlink" Target="https://www.amazon.es/dp/B0GT5XPRWK" TargetMode="External"/><Relationship Id="rId15" Type="http://schemas.openxmlformats.org/officeDocument/2006/relationships/hyperlink" Target="https://www.amazon.es/dp/B0H38RDVZR" TargetMode="External"/><Relationship Id="rId16" Type="http://schemas.openxmlformats.org/officeDocument/2006/relationships/hyperlink" Target="https://www.amazon.es/dp/B09XHW8C8W" TargetMode="External"/><Relationship Id="rId17" Type="http://schemas.openxmlformats.org/officeDocument/2006/relationships/hyperlink" Target="https://www.amazon.es/dp/B0C8FS5FV2" TargetMode="External"/><Relationship Id="rId18" Type="http://schemas.openxmlformats.org/officeDocument/2006/relationships/hyperlink" Target="https://www.amazon.es/dp/B0DP2NT8LY" TargetMode="External"/><Relationship Id="rId19" Type="http://schemas.openxmlformats.org/officeDocument/2006/relationships/hyperlink" Target="https://www.amazon.es/dp/B0CBWZNP6Z" TargetMode="External"/><Relationship Id="rId20" Type="http://schemas.openxmlformats.org/officeDocument/2006/relationships/hyperlink" Target="https://www.amazon.es/dp/B0BMGBBPTT" TargetMode="External"/><Relationship Id="rId21" Type="http://schemas.openxmlformats.org/officeDocument/2006/relationships/hyperlink" Target="https://www.amazon.es/dp/B07P14QHB7" TargetMode="External"/><Relationship Id="rId22" Type="http://schemas.openxmlformats.org/officeDocument/2006/relationships/hyperlink" Target="https://www.amazon.es/dp/B00AOAJAUC" TargetMode="External"/><Relationship Id="rId23" Type="http://schemas.openxmlformats.org/officeDocument/2006/relationships/hyperlink" Target="https://www.amazon.es/dp/B07QK5M755" TargetMode="External"/><Relationship Id="rId24" Type="http://schemas.openxmlformats.org/officeDocument/2006/relationships/hyperlink" Target="https://www.amazon.es/dp/B0CHNRVG2Z" TargetMode="External"/><Relationship Id="rId25" Type="http://schemas.openxmlformats.org/officeDocument/2006/relationships/hyperlink" Target="https://www.amazon.es/dp/B0CRRBYJ2Y" TargetMode="External"/><Relationship Id="rId26" Type="http://schemas.openxmlformats.org/officeDocument/2006/relationships/hyperlink" Target="https://www.amazon.es/dp/B0D8KDZLPN" TargetMode="External"/><Relationship Id="rId27" Type="http://schemas.openxmlformats.org/officeDocument/2006/relationships/hyperlink" Target="https://www.amazon.es/dp/B0GSCLY4D7" TargetMode="External"/><Relationship Id="rId28" Type="http://schemas.openxmlformats.org/officeDocument/2006/relationships/hyperlink" Target="https://www.amazon.es/dp/B0GSCLY4D7" TargetMode="External"/><Relationship Id="rId29" Type="http://schemas.openxmlformats.org/officeDocument/2006/relationships/hyperlink" Target="https://www.amazon.es/dp/B0FVLLN788" TargetMode="External"/><Relationship Id="rId30" Type="http://schemas.openxmlformats.org/officeDocument/2006/relationships/hyperlink" Target="https://www.amazon.es/dp/B0G4G7WQRM" TargetMode="External"/><Relationship Id="rId31" Type="http://schemas.openxmlformats.org/officeDocument/2006/relationships/hyperlink" Target="https://www.amazon.es/dp/B0B5DLWVZ2" TargetMode="External"/><Relationship Id="rId32" Type="http://schemas.openxmlformats.org/officeDocument/2006/relationships/hyperlink" Target="https://www.amazon.es/dp/B08CGMX1B6" TargetMode="External"/><Relationship Id="rId33" Type="http://schemas.openxmlformats.org/officeDocument/2006/relationships/hyperlink" Target="https://www.amazon.es/dp/B0FPQMRG8J" TargetMode="External"/><Relationship Id="rId34" Type="http://schemas.openxmlformats.org/officeDocument/2006/relationships/hyperlink" Target="https://www.amazon.es/dp/B0B61JZ25M" TargetMode="External"/><Relationship Id="rId35" Type="http://schemas.openxmlformats.org/officeDocument/2006/relationships/hyperlink" Target="https://www.amazon.es/dp/B07Q5TVVMJ" TargetMode="External"/><Relationship Id="rId36" Type="http://schemas.openxmlformats.org/officeDocument/2006/relationships/hyperlink" Target="https://www.amazon.es/dp/B0C43ZLBNM" TargetMode="External"/><Relationship Id="rId37" Type="http://schemas.openxmlformats.org/officeDocument/2006/relationships/hyperlink" Target="https://www.amazon.es/dp/B0GGSDJMYV" TargetMode="External"/><Relationship Id="rId38" Type="http://schemas.openxmlformats.org/officeDocument/2006/relationships/hyperlink" Target="https://www.amazon.es/dp/B01H9Z6HB4" TargetMode="External"/><Relationship Id="rId39" Type="http://schemas.openxmlformats.org/officeDocument/2006/relationships/hyperlink" Target="https://www.amazon.es/dp/B0956XYTN6" TargetMode="External"/><Relationship Id="rId40" Type="http://schemas.openxmlformats.org/officeDocument/2006/relationships/hyperlink" Target="https://www.amazon.es/dp/B0D12QPF4Y" TargetMode="External"/><Relationship Id="rId41" Type="http://schemas.openxmlformats.org/officeDocument/2006/relationships/hyperlink" Target="https://www.amazon.es/dp/B07BDHJGKG" TargetMode="External"/><Relationship Id="rId42" Type="http://schemas.openxmlformats.org/officeDocument/2006/relationships/hyperlink" Target="https://www.amazon.es/dp/B0CVW7Y2P4" TargetMode="External"/><Relationship Id="rId43" Type="http://schemas.openxmlformats.org/officeDocument/2006/relationships/hyperlink" Target="https://www.amazon.es/dp/B0B77J5FZS" TargetMode="External"/><Relationship Id="rId44" Type="http://schemas.openxmlformats.org/officeDocument/2006/relationships/hyperlink" Target="https://www.amazon.es/dp/B0BGRY2JGX" TargetMode="External"/><Relationship Id="rId45" Type="http://schemas.openxmlformats.org/officeDocument/2006/relationships/hyperlink" Target="https://www.amazon.es/dp/B0B4H54KPS" TargetMode="External"/><Relationship Id="rId46" Type="http://schemas.openxmlformats.org/officeDocument/2006/relationships/hyperlink" Target="https://www.amazon.es/dp/B01NGTXASZ" TargetMode="External"/><Relationship Id="rId47" Type="http://schemas.openxmlformats.org/officeDocument/2006/relationships/hyperlink" Target="https://www.amazon.es/dp/B0FQP6KDL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5" min="3" style="0" width="10"/>
    <col collapsed="false" customWidth="true" hidden="false" outlineLevel="0" max="6" min="6" style="0" width="34"/>
    <col collapsed="false" customWidth="true" hidden="false" outlineLevel="0" max="8" min="7" style="0" width="11"/>
    <col collapsed="false" customWidth="true" hidden="false" outlineLevel="0" max="10" min="9" style="0" width="14"/>
    <col collapsed="false" customWidth="true" hidden="false" outlineLevel="0" max="11" min="11" style="0" width="26"/>
    <col collapsed="false" customWidth="true" hidden="false" outlineLevel="0" max="12" min="12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35.05" hidden="false" customHeight="false" outlineLevel="0" collapsed="false">
      <c r="A5" s="4" t="s">
        <v>14</v>
      </c>
      <c r="B5" s="4" t="s">
        <v>15</v>
      </c>
      <c r="C5" s="5" t="n">
        <v>220</v>
      </c>
      <c r="D5" s="5" t="n">
        <v>103</v>
      </c>
      <c r="E5" s="5" t="n">
        <v>442.5</v>
      </c>
      <c r="F5" s="4" t="s">
        <v>16</v>
      </c>
      <c r="G5" s="4" t="n">
        <f aca="false">COUNTA('A Fabricar'!A5:A50)</f>
        <v>46</v>
      </c>
      <c r="H5" s="6" t="n">
        <f aca="false">'A Fabricar'!I51/1000</f>
        <v>7.795</v>
      </c>
      <c r="I5" s="7" t="n">
        <f aca="false">'A Comprar'!I53</f>
        <v>882.1</v>
      </c>
      <c r="J5" s="7" t="n">
        <f aca="false">'A Comprar'!I54</f>
        <v>866.12</v>
      </c>
      <c r="K5" s="4" t="s">
        <v>17</v>
      </c>
      <c r="L5" s="4" t="s">
        <v>18</v>
      </c>
    </row>
    <row r="10" customFormat="false" ht="15" hidden="false" customHeight="false" outlineLevel="0" collapsed="false">
      <c r="A10" s="8" t="s">
        <v>19</v>
      </c>
    </row>
    <row r="11" customFormat="false" ht="15" hidden="false" customHeight="false" outlineLevel="0" collapsed="false">
      <c r="A11" s="2" t="s">
        <v>20</v>
      </c>
    </row>
    <row r="12" customFormat="false" ht="15" hidden="false" customHeight="false" outlineLevel="0" collapsed="false">
      <c r="A12" s="2" t="s">
        <v>21</v>
      </c>
    </row>
    <row r="13" customFormat="false" ht="15" hidden="false" customHeight="false" outlineLevel="0" collapsed="false">
      <c r="A13" s="2" t="s">
        <v>22</v>
      </c>
    </row>
    <row r="14" customFormat="false" ht="15" hidden="false" customHeight="false" outlineLevel="0" collapsed="false">
      <c r="A14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8" min="6" style="0" width="11"/>
    <col collapsed="false" customWidth="true" hidden="false" outlineLevel="0" max="9" min="9" style="0" width="1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30" hidden="false" customHeight="true" outlineLevel="0" collapsed="false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4</v>
      </c>
      <c r="H4" s="3" t="s">
        <v>32</v>
      </c>
      <c r="I4" s="3" t="s">
        <v>33</v>
      </c>
      <c r="J4" s="3" t="s">
        <v>34</v>
      </c>
      <c r="K4" s="3" t="s">
        <v>35</v>
      </c>
      <c r="L4" s="3" t="s">
        <v>19</v>
      </c>
    </row>
    <row r="5" customFormat="false" ht="23.85" hidden="false" customHeight="false" outlineLevel="0" collapsed="false">
      <c r="A5" s="4" t="s">
        <v>36</v>
      </c>
      <c r="B5" s="4" t="s">
        <v>37</v>
      </c>
      <c r="C5" s="4" t="s">
        <v>38</v>
      </c>
      <c r="D5" s="4" t="s">
        <v>39</v>
      </c>
      <c r="E5" s="4" t="s">
        <v>40</v>
      </c>
      <c r="F5" s="6" t="n">
        <v>409</v>
      </c>
      <c r="G5" s="6" t="n">
        <v>220</v>
      </c>
      <c r="H5" s="6" t="n">
        <v>1.5</v>
      </c>
      <c r="I5" s="9" t="n">
        <v>785</v>
      </c>
      <c r="J5" s="4" t="s">
        <v>41</v>
      </c>
      <c r="K5" s="4" t="s">
        <v>42</v>
      </c>
      <c r="L5" s="4" t="s">
        <v>43</v>
      </c>
    </row>
    <row r="6" customFormat="false" ht="23.85" hidden="false" customHeight="false" outlineLevel="0" collapsed="false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6" t="n">
        <v>225.5</v>
      </c>
      <c r="G6" s="6" t="n">
        <v>206</v>
      </c>
      <c r="H6" s="6" t="n">
        <v>5</v>
      </c>
      <c r="I6" s="9" t="n">
        <v>277</v>
      </c>
      <c r="J6" s="4" t="s">
        <v>49</v>
      </c>
      <c r="K6" s="4" t="s">
        <v>50</v>
      </c>
      <c r="L6" s="4" t="s">
        <v>51</v>
      </c>
    </row>
    <row r="7" customFormat="false" ht="23.85" hidden="false" customHeight="false" outlineLevel="0" collapsed="false">
      <c r="A7" s="4" t="s">
        <v>52</v>
      </c>
      <c r="B7" s="4" t="s">
        <v>53</v>
      </c>
      <c r="C7" s="4" t="s">
        <v>46</v>
      </c>
      <c r="D7" s="4" t="s">
        <v>47</v>
      </c>
      <c r="E7" s="4" t="s">
        <v>48</v>
      </c>
      <c r="F7" s="6" t="n">
        <v>225.5</v>
      </c>
      <c r="G7" s="6" t="n">
        <v>206</v>
      </c>
      <c r="H7" s="6" t="n">
        <v>5</v>
      </c>
      <c r="I7" s="9" t="n">
        <v>277</v>
      </c>
      <c r="J7" s="4" t="s">
        <v>54</v>
      </c>
      <c r="K7" s="4" t="s">
        <v>55</v>
      </c>
      <c r="L7" s="4" t="s">
        <v>56</v>
      </c>
    </row>
    <row r="8" customFormat="false" ht="23.85" hidden="false" customHeight="false" outlineLevel="0" collapsed="false">
      <c r="A8" s="4" t="s">
        <v>57</v>
      </c>
      <c r="B8" s="4" t="s">
        <v>58</v>
      </c>
      <c r="C8" s="4" t="s">
        <v>38</v>
      </c>
      <c r="D8" s="4" t="s">
        <v>39</v>
      </c>
      <c r="E8" s="4" t="s">
        <v>40</v>
      </c>
      <c r="F8" s="6" t="n">
        <v>441</v>
      </c>
      <c r="G8" s="6" t="n">
        <v>220</v>
      </c>
      <c r="H8" s="6" t="n">
        <v>1.5</v>
      </c>
      <c r="I8" s="9" t="n">
        <v>1135</v>
      </c>
      <c r="J8" s="4" t="s">
        <v>59</v>
      </c>
      <c r="K8" s="4" t="s">
        <v>60</v>
      </c>
      <c r="L8" s="4" t="s">
        <v>61</v>
      </c>
    </row>
    <row r="9" customFormat="false" ht="23.85" hidden="false" customHeight="false" outlineLevel="0" collapsed="false">
      <c r="A9" s="4" t="s">
        <v>62</v>
      </c>
      <c r="B9" s="4" t="s">
        <v>63</v>
      </c>
      <c r="C9" s="4" t="s">
        <v>38</v>
      </c>
      <c r="D9" s="4" t="s">
        <v>39</v>
      </c>
      <c r="E9" s="4" t="s">
        <v>40</v>
      </c>
      <c r="F9" s="6" t="n">
        <v>439.5</v>
      </c>
      <c r="G9" s="6" t="n">
        <v>100</v>
      </c>
      <c r="H9" s="6" t="n">
        <v>1.5</v>
      </c>
      <c r="I9" s="9" t="n">
        <v>362</v>
      </c>
      <c r="J9" s="4" t="s">
        <v>64</v>
      </c>
      <c r="K9" s="4" t="s">
        <v>65</v>
      </c>
      <c r="L9" s="4" t="s">
        <v>66</v>
      </c>
    </row>
    <row r="10" customFormat="false" ht="35.05" hidden="false" customHeight="false" outlineLevel="0" collapsed="false">
      <c r="A10" s="4" t="s">
        <v>67</v>
      </c>
      <c r="B10" s="4" t="s">
        <v>68</v>
      </c>
      <c r="C10" s="4" t="s">
        <v>38</v>
      </c>
      <c r="D10" s="4" t="s">
        <v>39</v>
      </c>
      <c r="E10" s="4" t="s">
        <v>40</v>
      </c>
      <c r="F10" s="6" t="n">
        <v>439.5</v>
      </c>
      <c r="G10" s="6" t="n">
        <v>100</v>
      </c>
      <c r="H10" s="6" t="n">
        <v>1.5</v>
      </c>
      <c r="I10" s="9" t="n">
        <v>485</v>
      </c>
      <c r="J10" s="4" t="s">
        <v>69</v>
      </c>
      <c r="K10" s="4" t="s">
        <v>70</v>
      </c>
      <c r="L10" s="4" t="s">
        <v>71</v>
      </c>
    </row>
    <row r="11" customFormat="false" ht="15" hidden="false" customHeight="false" outlineLevel="0" collapsed="false">
      <c r="A11" s="4" t="s">
        <v>72</v>
      </c>
      <c r="B11" s="4" t="s">
        <v>73</v>
      </c>
      <c r="C11" s="4" t="s">
        <v>38</v>
      </c>
      <c r="D11" s="4" t="s">
        <v>39</v>
      </c>
      <c r="E11" s="4" t="s">
        <v>40</v>
      </c>
      <c r="F11" s="6" t="n">
        <v>220</v>
      </c>
      <c r="G11" s="6" t="n">
        <v>100</v>
      </c>
      <c r="H11" s="6" t="n">
        <v>1.5</v>
      </c>
      <c r="I11" s="9" t="n">
        <v>259</v>
      </c>
      <c r="J11" s="4" t="s">
        <v>74</v>
      </c>
      <c r="K11" s="4" t="s">
        <v>75</v>
      </c>
      <c r="L11" s="4"/>
    </row>
    <row r="12" customFormat="false" ht="23.85" hidden="false" customHeight="false" outlineLevel="0" collapsed="false">
      <c r="A12" s="4" t="s">
        <v>76</v>
      </c>
      <c r="B12" s="4" t="s">
        <v>77</v>
      </c>
      <c r="C12" s="4" t="s">
        <v>38</v>
      </c>
      <c r="D12" s="4" t="s">
        <v>39</v>
      </c>
      <c r="E12" s="4" t="s">
        <v>40</v>
      </c>
      <c r="F12" s="6" t="n">
        <v>217</v>
      </c>
      <c r="G12" s="6" t="n">
        <v>100</v>
      </c>
      <c r="H12" s="6" t="n">
        <v>1.5</v>
      </c>
      <c r="I12" s="9" t="n">
        <v>255</v>
      </c>
      <c r="J12" s="4" t="s">
        <v>78</v>
      </c>
      <c r="K12" s="4" t="s">
        <v>79</v>
      </c>
      <c r="L12" s="4" t="s">
        <v>80</v>
      </c>
    </row>
    <row r="13" customFormat="false" ht="23.85" hidden="false" customHeight="false" outlineLevel="0" collapsed="false">
      <c r="A13" s="4" t="s">
        <v>81</v>
      </c>
      <c r="B13" s="4" t="s">
        <v>82</v>
      </c>
      <c r="C13" s="4" t="s">
        <v>38</v>
      </c>
      <c r="D13" s="4" t="s">
        <v>39</v>
      </c>
      <c r="E13" s="4" t="s">
        <v>40</v>
      </c>
      <c r="F13" s="6" t="n">
        <v>218</v>
      </c>
      <c r="G13" s="6" t="n">
        <v>10.5</v>
      </c>
      <c r="H13" s="6" t="n">
        <v>1.5</v>
      </c>
      <c r="I13" s="9" t="n">
        <v>27</v>
      </c>
      <c r="J13" s="4" t="s">
        <v>83</v>
      </c>
      <c r="K13" s="4" t="s">
        <v>84</v>
      </c>
      <c r="L13" s="4" t="s">
        <v>85</v>
      </c>
    </row>
    <row r="14" customFormat="false" ht="23.85" hidden="false" customHeight="false" outlineLevel="0" collapsed="false">
      <c r="A14" s="4" t="s">
        <v>86</v>
      </c>
      <c r="B14" s="4" t="s">
        <v>87</v>
      </c>
      <c r="C14" s="4" t="s">
        <v>38</v>
      </c>
      <c r="D14" s="4" t="s">
        <v>39</v>
      </c>
      <c r="E14" s="4" t="s">
        <v>40</v>
      </c>
      <c r="F14" s="6" t="n">
        <v>218</v>
      </c>
      <c r="G14" s="6" t="n">
        <v>10.5</v>
      </c>
      <c r="H14" s="6" t="n">
        <v>1.5</v>
      </c>
      <c r="I14" s="9" t="n">
        <v>27</v>
      </c>
      <c r="J14" s="4" t="s">
        <v>88</v>
      </c>
      <c r="K14" s="4" t="s">
        <v>89</v>
      </c>
      <c r="L14" s="4" t="s">
        <v>85</v>
      </c>
    </row>
    <row r="15" customFormat="false" ht="57.45" hidden="false" customHeight="false" outlineLevel="0" collapsed="false">
      <c r="A15" s="4" t="s">
        <v>90</v>
      </c>
      <c r="B15" s="4" t="s">
        <v>91</v>
      </c>
      <c r="C15" s="4" t="s">
        <v>7</v>
      </c>
      <c r="D15" s="4" t="s">
        <v>39</v>
      </c>
      <c r="E15" s="4" t="s">
        <v>40</v>
      </c>
      <c r="F15" s="6" t="n">
        <v>218.3</v>
      </c>
      <c r="G15" s="6" t="n">
        <v>89.6</v>
      </c>
      <c r="H15" s="6" t="n">
        <v>1.5</v>
      </c>
      <c r="I15" s="9" t="n">
        <v>230</v>
      </c>
      <c r="J15" s="4" t="s">
        <v>92</v>
      </c>
      <c r="K15" s="4" t="s">
        <v>93</v>
      </c>
      <c r="L15" s="4" t="s">
        <v>94</v>
      </c>
    </row>
    <row r="16" customFormat="false" ht="23.85" hidden="false" customHeight="false" outlineLevel="0" collapsed="false">
      <c r="A16" s="4" t="s">
        <v>95</v>
      </c>
      <c r="B16" s="4" t="s">
        <v>96</v>
      </c>
      <c r="C16" s="4" t="s">
        <v>38</v>
      </c>
      <c r="D16" s="4" t="s">
        <v>39</v>
      </c>
      <c r="E16" s="4" t="s">
        <v>40</v>
      </c>
      <c r="F16" s="6" t="n">
        <v>217</v>
      </c>
      <c r="G16" s="6" t="n">
        <v>5</v>
      </c>
      <c r="H16" s="6" t="n">
        <v>1.5</v>
      </c>
      <c r="I16" s="9" t="n">
        <v>13</v>
      </c>
      <c r="J16" s="4" t="s">
        <v>97</v>
      </c>
      <c r="K16" s="4" t="s">
        <v>98</v>
      </c>
      <c r="L16" s="4" t="s">
        <v>99</v>
      </c>
    </row>
    <row r="17" customFormat="false" ht="15" hidden="false" customHeight="false" outlineLevel="0" collapsed="false">
      <c r="A17" s="4" t="s">
        <v>100</v>
      </c>
      <c r="B17" s="4" t="s">
        <v>101</v>
      </c>
      <c r="C17" s="4" t="s">
        <v>38</v>
      </c>
      <c r="D17" s="4" t="s">
        <v>39</v>
      </c>
      <c r="E17" s="4" t="s">
        <v>40</v>
      </c>
      <c r="F17" s="6" t="n">
        <v>217</v>
      </c>
      <c r="G17" s="6" t="n">
        <v>12.5</v>
      </c>
      <c r="H17" s="6" t="n">
        <v>1.5</v>
      </c>
      <c r="I17" s="9" t="n">
        <v>32</v>
      </c>
      <c r="J17" s="4" t="s">
        <v>102</v>
      </c>
      <c r="K17" s="4" t="s">
        <v>103</v>
      </c>
      <c r="L17" s="4" t="s">
        <v>104</v>
      </c>
    </row>
    <row r="18" customFormat="false" ht="23.85" hidden="false" customHeight="false" outlineLevel="0" collapsed="false">
      <c r="A18" s="4" t="s">
        <v>105</v>
      </c>
      <c r="B18" s="4" t="s">
        <v>106</v>
      </c>
      <c r="C18" s="4" t="s">
        <v>38</v>
      </c>
      <c r="D18" s="4" t="s">
        <v>39</v>
      </c>
      <c r="E18" s="4" t="s">
        <v>40</v>
      </c>
      <c r="F18" s="6" t="n">
        <v>35</v>
      </c>
      <c r="G18" s="6" t="n">
        <v>2.5</v>
      </c>
      <c r="H18" s="6" t="n">
        <v>1.5</v>
      </c>
      <c r="I18" s="9" t="n">
        <v>1</v>
      </c>
      <c r="J18" s="4" t="s">
        <v>107</v>
      </c>
      <c r="K18" s="4" t="s">
        <v>108</v>
      </c>
      <c r="L18" s="4" t="s">
        <v>109</v>
      </c>
    </row>
    <row r="19" customFormat="false" ht="23.85" hidden="false" customHeight="false" outlineLevel="0" collapsed="false">
      <c r="A19" s="4" t="s">
        <v>110</v>
      </c>
      <c r="B19" s="4" t="s">
        <v>111</v>
      </c>
      <c r="C19" s="4" t="s">
        <v>38</v>
      </c>
      <c r="D19" s="4" t="s">
        <v>39</v>
      </c>
      <c r="E19" s="4" t="s">
        <v>40</v>
      </c>
      <c r="F19" s="6" t="n">
        <v>6</v>
      </c>
      <c r="G19" s="6" t="n">
        <v>2.5</v>
      </c>
      <c r="H19" s="6" t="n">
        <v>1.5</v>
      </c>
      <c r="I19" s="9" t="n">
        <v>0</v>
      </c>
      <c r="J19" s="4" t="s">
        <v>112</v>
      </c>
      <c r="K19" s="4" t="s">
        <v>113</v>
      </c>
      <c r="L19" s="4" t="s">
        <v>109</v>
      </c>
    </row>
    <row r="20" customFormat="false" ht="23.85" hidden="false" customHeight="false" outlineLevel="0" collapsed="false">
      <c r="A20" s="4" t="s">
        <v>114</v>
      </c>
      <c r="B20" s="4" t="s">
        <v>115</v>
      </c>
      <c r="C20" s="4" t="s">
        <v>7</v>
      </c>
      <c r="D20" s="4" t="s">
        <v>39</v>
      </c>
      <c r="E20" s="4" t="s">
        <v>40</v>
      </c>
      <c r="F20" s="6" t="n">
        <v>222</v>
      </c>
      <c r="G20" s="6" t="n">
        <v>103</v>
      </c>
      <c r="H20" s="6" t="n">
        <v>1.5</v>
      </c>
      <c r="I20" s="9" t="n">
        <v>269</v>
      </c>
      <c r="J20" s="4" t="s">
        <v>116</v>
      </c>
      <c r="K20" s="4" t="s">
        <v>117</v>
      </c>
      <c r="L20" s="4" t="s">
        <v>118</v>
      </c>
    </row>
    <row r="21" customFormat="false" ht="15" hidden="false" customHeight="false" outlineLevel="0" collapsed="false">
      <c r="A21" s="4" t="s">
        <v>119</v>
      </c>
      <c r="B21" s="4" t="s">
        <v>120</v>
      </c>
      <c r="C21" s="4" t="s">
        <v>7</v>
      </c>
      <c r="D21" s="4" t="s">
        <v>39</v>
      </c>
      <c r="E21" s="4" t="s">
        <v>40</v>
      </c>
      <c r="F21" s="6" t="n">
        <v>220.5</v>
      </c>
      <c r="G21" s="6" t="n">
        <v>31.5</v>
      </c>
      <c r="H21" s="6" t="n">
        <v>1.5</v>
      </c>
      <c r="I21" s="9" t="n">
        <v>79</v>
      </c>
      <c r="J21" s="4" t="s">
        <v>121</v>
      </c>
      <c r="K21" s="4" t="s">
        <v>122</v>
      </c>
      <c r="L21" s="4" t="s">
        <v>123</v>
      </c>
    </row>
    <row r="22" customFormat="false" ht="35.05" hidden="false" customHeight="false" outlineLevel="0" collapsed="false">
      <c r="A22" s="4" t="s">
        <v>124</v>
      </c>
      <c r="B22" s="4" t="s">
        <v>125</v>
      </c>
      <c r="C22" s="4" t="s">
        <v>7</v>
      </c>
      <c r="D22" s="4" t="s">
        <v>39</v>
      </c>
      <c r="E22" s="4" t="s">
        <v>40</v>
      </c>
      <c r="F22" s="6" t="n">
        <v>103</v>
      </c>
      <c r="G22" s="6" t="n">
        <v>37.5</v>
      </c>
      <c r="H22" s="6" t="n">
        <v>1.5</v>
      </c>
      <c r="I22" s="9" t="n">
        <v>45</v>
      </c>
      <c r="J22" s="4" t="s">
        <v>126</v>
      </c>
      <c r="K22" s="4" t="s">
        <v>127</v>
      </c>
      <c r="L22" s="4" t="s">
        <v>128</v>
      </c>
    </row>
    <row r="23" customFormat="false" ht="23.85" hidden="false" customHeight="false" outlineLevel="0" collapsed="false">
      <c r="A23" s="4" t="s">
        <v>129</v>
      </c>
      <c r="B23" s="4" t="s">
        <v>130</v>
      </c>
      <c r="C23" s="4" t="s">
        <v>7</v>
      </c>
      <c r="D23" s="4" t="s">
        <v>131</v>
      </c>
      <c r="E23" s="4" t="s">
        <v>40</v>
      </c>
      <c r="F23" s="6" t="n">
        <v>19.8</v>
      </c>
      <c r="G23" s="6" t="n">
        <v>6</v>
      </c>
      <c r="H23" s="6" t="n">
        <v>3</v>
      </c>
      <c r="I23" s="9" t="n">
        <v>2</v>
      </c>
      <c r="J23" s="4" t="s">
        <v>132</v>
      </c>
      <c r="K23" s="4" t="s">
        <v>133</v>
      </c>
      <c r="L23" s="4" t="s">
        <v>134</v>
      </c>
    </row>
    <row r="24" customFormat="false" ht="15" hidden="false" customHeight="false" outlineLevel="0" collapsed="false">
      <c r="A24" s="4" t="s">
        <v>135</v>
      </c>
      <c r="B24" s="4" t="s">
        <v>136</v>
      </c>
      <c r="C24" s="4" t="s">
        <v>137</v>
      </c>
      <c r="D24" s="4" t="s">
        <v>39</v>
      </c>
      <c r="E24" s="4" t="s">
        <v>40</v>
      </c>
      <c r="F24" s="6" t="n">
        <v>216</v>
      </c>
      <c r="G24" s="6" t="n">
        <v>75</v>
      </c>
      <c r="H24" s="6" t="n">
        <v>1.5</v>
      </c>
      <c r="I24" s="9" t="n">
        <v>191</v>
      </c>
      <c r="J24" s="4" t="s">
        <v>138</v>
      </c>
      <c r="K24" s="4" t="s">
        <v>139</v>
      </c>
      <c r="L24" s="4"/>
    </row>
    <row r="25" customFormat="false" ht="15" hidden="false" customHeight="false" outlineLevel="0" collapsed="false">
      <c r="A25" s="4" t="s">
        <v>140</v>
      </c>
      <c r="B25" s="4" t="s">
        <v>141</v>
      </c>
      <c r="C25" s="4" t="s">
        <v>137</v>
      </c>
      <c r="D25" s="4" t="s">
        <v>39</v>
      </c>
      <c r="E25" s="4" t="s">
        <v>40</v>
      </c>
      <c r="F25" s="6" t="n">
        <v>216</v>
      </c>
      <c r="G25" s="6" t="n">
        <v>145.2</v>
      </c>
      <c r="H25" s="6" t="n">
        <v>1.5</v>
      </c>
      <c r="I25" s="9" t="n">
        <v>354</v>
      </c>
      <c r="J25" s="4" t="s">
        <v>142</v>
      </c>
      <c r="K25" s="4" t="s">
        <v>143</v>
      </c>
      <c r="L25" s="4" t="s">
        <v>144</v>
      </c>
    </row>
    <row r="26" customFormat="false" ht="15" hidden="false" customHeight="false" outlineLevel="0" collapsed="false">
      <c r="A26" s="4" t="s">
        <v>145</v>
      </c>
      <c r="B26" s="4" t="s">
        <v>58</v>
      </c>
      <c r="C26" s="4" t="s">
        <v>137</v>
      </c>
      <c r="D26" s="4" t="s">
        <v>39</v>
      </c>
      <c r="E26" s="4" t="s">
        <v>40</v>
      </c>
      <c r="F26" s="6" t="n">
        <v>216</v>
      </c>
      <c r="G26" s="6" t="n">
        <v>145.2</v>
      </c>
      <c r="H26" s="6" t="n">
        <v>1.5</v>
      </c>
      <c r="I26" s="9" t="n">
        <v>369</v>
      </c>
      <c r="J26" s="4" t="s">
        <v>146</v>
      </c>
      <c r="K26" s="4" t="s">
        <v>147</v>
      </c>
      <c r="L26" s="4"/>
    </row>
    <row r="27" customFormat="false" ht="15" hidden="false" customHeight="false" outlineLevel="0" collapsed="false">
      <c r="A27" s="4" t="s">
        <v>148</v>
      </c>
      <c r="B27" s="4" t="s">
        <v>149</v>
      </c>
      <c r="C27" s="4" t="s">
        <v>137</v>
      </c>
      <c r="D27" s="4" t="s">
        <v>39</v>
      </c>
      <c r="E27" s="4" t="s">
        <v>40</v>
      </c>
      <c r="F27" s="6" t="n">
        <v>145.2</v>
      </c>
      <c r="G27" s="6" t="n">
        <v>72</v>
      </c>
      <c r="H27" s="6" t="n">
        <v>1.5</v>
      </c>
      <c r="I27" s="9" t="n">
        <v>123</v>
      </c>
      <c r="J27" s="4" t="s">
        <v>150</v>
      </c>
      <c r="K27" s="4" t="s">
        <v>151</v>
      </c>
      <c r="L27" s="4"/>
    </row>
    <row r="28" customFormat="false" ht="23.85" hidden="false" customHeight="false" outlineLevel="0" collapsed="false">
      <c r="A28" s="4" t="s">
        <v>152</v>
      </c>
      <c r="B28" s="4" t="s">
        <v>153</v>
      </c>
      <c r="C28" s="4" t="s">
        <v>137</v>
      </c>
      <c r="D28" s="4" t="s">
        <v>39</v>
      </c>
      <c r="E28" s="4" t="s">
        <v>40</v>
      </c>
      <c r="F28" s="6" t="n">
        <v>147.7</v>
      </c>
      <c r="G28" s="6" t="n">
        <v>84</v>
      </c>
      <c r="H28" s="6" t="n">
        <v>1.5</v>
      </c>
      <c r="I28" s="9" t="n">
        <v>146</v>
      </c>
      <c r="J28" s="4" t="s">
        <v>154</v>
      </c>
      <c r="K28" s="4" t="s">
        <v>155</v>
      </c>
      <c r="L28" s="4" t="s">
        <v>156</v>
      </c>
    </row>
    <row r="29" customFormat="false" ht="15" hidden="false" customHeight="false" outlineLevel="0" collapsed="false">
      <c r="A29" s="4" t="s">
        <v>157</v>
      </c>
      <c r="B29" s="4" t="s">
        <v>158</v>
      </c>
      <c r="C29" s="4" t="s">
        <v>137</v>
      </c>
      <c r="D29" s="4" t="s">
        <v>39</v>
      </c>
      <c r="E29" s="4" t="s">
        <v>40</v>
      </c>
      <c r="F29" s="6" t="n">
        <v>145.2</v>
      </c>
      <c r="G29" s="6" t="n">
        <v>72</v>
      </c>
      <c r="H29" s="6" t="n">
        <v>1.5</v>
      </c>
      <c r="I29" s="9" t="n">
        <v>123</v>
      </c>
      <c r="J29" s="4" t="s">
        <v>159</v>
      </c>
      <c r="K29" s="4" t="s">
        <v>160</v>
      </c>
      <c r="L29" s="4"/>
    </row>
    <row r="30" customFormat="false" ht="15" hidden="false" customHeight="false" outlineLevel="0" collapsed="false">
      <c r="A30" s="4" t="s">
        <v>161</v>
      </c>
      <c r="B30" s="4" t="s">
        <v>162</v>
      </c>
      <c r="C30" s="4" t="s">
        <v>137</v>
      </c>
      <c r="D30" s="4" t="s">
        <v>39</v>
      </c>
      <c r="E30" s="4" t="s">
        <v>40</v>
      </c>
      <c r="F30" s="6" t="n">
        <v>145.2</v>
      </c>
      <c r="G30" s="6" t="n">
        <v>72</v>
      </c>
      <c r="H30" s="6" t="n">
        <v>1.5</v>
      </c>
      <c r="I30" s="9" t="n">
        <v>123</v>
      </c>
      <c r="J30" s="4" t="s">
        <v>163</v>
      </c>
      <c r="K30" s="4" t="s">
        <v>164</v>
      </c>
      <c r="L30" s="4"/>
    </row>
    <row r="31" customFormat="false" ht="23.85" hidden="false" customHeight="false" outlineLevel="0" collapsed="false">
      <c r="A31" s="4" t="s">
        <v>165</v>
      </c>
      <c r="B31" s="4" t="s">
        <v>166</v>
      </c>
      <c r="C31" s="4" t="s">
        <v>38</v>
      </c>
      <c r="D31" s="4" t="s">
        <v>131</v>
      </c>
      <c r="E31" s="4" t="s">
        <v>40</v>
      </c>
      <c r="F31" s="6" t="n">
        <v>18</v>
      </c>
      <c r="G31" s="6" t="n">
        <v>12</v>
      </c>
      <c r="H31" s="6" t="n">
        <v>3</v>
      </c>
      <c r="I31" s="9" t="n">
        <v>4</v>
      </c>
      <c r="J31" s="4" t="s">
        <v>167</v>
      </c>
      <c r="K31" s="4" t="s">
        <v>168</v>
      </c>
      <c r="L31" s="4" t="s">
        <v>169</v>
      </c>
    </row>
    <row r="32" customFormat="false" ht="23.85" hidden="false" customHeight="false" outlineLevel="0" collapsed="false">
      <c r="A32" s="4" t="s">
        <v>170</v>
      </c>
      <c r="B32" s="4" t="s">
        <v>171</v>
      </c>
      <c r="C32" s="4" t="s">
        <v>137</v>
      </c>
      <c r="D32" s="4" t="s">
        <v>131</v>
      </c>
      <c r="E32" s="4" t="s">
        <v>40</v>
      </c>
      <c r="F32" s="6" t="n">
        <v>27</v>
      </c>
      <c r="G32" s="6" t="n">
        <v>18</v>
      </c>
      <c r="H32" s="6" t="n">
        <v>3</v>
      </c>
      <c r="I32" s="9" t="n">
        <v>10</v>
      </c>
      <c r="J32" s="4" t="s">
        <v>172</v>
      </c>
      <c r="K32" s="4" t="s">
        <v>173</v>
      </c>
      <c r="L32" s="4" t="s">
        <v>174</v>
      </c>
    </row>
    <row r="33" customFormat="false" ht="23.85" hidden="false" customHeight="false" outlineLevel="0" collapsed="false">
      <c r="A33" s="4" t="s">
        <v>175</v>
      </c>
      <c r="B33" s="4" t="s">
        <v>176</v>
      </c>
      <c r="C33" s="4" t="s">
        <v>38</v>
      </c>
      <c r="D33" s="4" t="s">
        <v>131</v>
      </c>
      <c r="E33" s="4" t="s">
        <v>40</v>
      </c>
      <c r="F33" s="6" t="n">
        <v>18</v>
      </c>
      <c r="G33" s="6" t="n">
        <v>12</v>
      </c>
      <c r="H33" s="6" t="n">
        <v>3</v>
      </c>
      <c r="I33" s="9" t="n">
        <v>4</v>
      </c>
      <c r="J33" s="4" t="s">
        <v>177</v>
      </c>
      <c r="K33" s="4" t="s">
        <v>178</v>
      </c>
      <c r="L33" s="4" t="s">
        <v>169</v>
      </c>
    </row>
    <row r="34" customFormat="false" ht="23.85" hidden="false" customHeight="false" outlineLevel="0" collapsed="false">
      <c r="A34" s="4" t="s">
        <v>179</v>
      </c>
      <c r="B34" s="4" t="s">
        <v>180</v>
      </c>
      <c r="C34" s="4" t="s">
        <v>137</v>
      </c>
      <c r="D34" s="4" t="s">
        <v>131</v>
      </c>
      <c r="E34" s="4" t="s">
        <v>40</v>
      </c>
      <c r="F34" s="6" t="n">
        <v>27</v>
      </c>
      <c r="G34" s="6" t="n">
        <v>18</v>
      </c>
      <c r="H34" s="6" t="n">
        <v>3</v>
      </c>
      <c r="I34" s="9" t="n">
        <v>10</v>
      </c>
      <c r="J34" s="4" t="s">
        <v>181</v>
      </c>
      <c r="K34" s="4" t="s">
        <v>182</v>
      </c>
      <c r="L34" s="4" t="s">
        <v>174</v>
      </c>
    </row>
    <row r="35" customFormat="false" ht="15" hidden="false" customHeight="false" outlineLevel="0" collapsed="false">
      <c r="A35" s="4" t="s">
        <v>183</v>
      </c>
      <c r="B35" s="4" t="s">
        <v>184</v>
      </c>
      <c r="C35" s="4" t="s">
        <v>185</v>
      </c>
      <c r="D35" s="4" t="s">
        <v>39</v>
      </c>
      <c r="E35" s="4" t="s">
        <v>40</v>
      </c>
      <c r="F35" s="6" t="n">
        <v>206.5</v>
      </c>
      <c r="G35" s="6" t="n">
        <v>74</v>
      </c>
      <c r="H35" s="6" t="n">
        <v>1.5</v>
      </c>
      <c r="I35" s="9" t="n">
        <v>169</v>
      </c>
      <c r="J35" s="4" t="s">
        <v>186</v>
      </c>
      <c r="K35" s="4" t="s">
        <v>187</v>
      </c>
      <c r="L35" s="4" t="s">
        <v>188</v>
      </c>
    </row>
    <row r="36" customFormat="false" ht="23.85" hidden="false" customHeight="false" outlineLevel="0" collapsed="false">
      <c r="A36" s="4" t="s">
        <v>189</v>
      </c>
      <c r="B36" s="4" t="s">
        <v>190</v>
      </c>
      <c r="C36" s="4" t="s">
        <v>185</v>
      </c>
      <c r="D36" s="4" t="s">
        <v>39</v>
      </c>
      <c r="E36" s="4" t="s">
        <v>40</v>
      </c>
      <c r="F36" s="6" t="n">
        <v>226.5</v>
      </c>
      <c r="G36" s="6" t="n">
        <v>206.5</v>
      </c>
      <c r="H36" s="6" t="n">
        <v>1.5</v>
      </c>
      <c r="I36" s="9" t="n">
        <v>301</v>
      </c>
      <c r="J36" s="4" t="s">
        <v>191</v>
      </c>
      <c r="K36" s="4" t="s">
        <v>192</v>
      </c>
      <c r="L36" s="4" t="s">
        <v>193</v>
      </c>
    </row>
    <row r="37" customFormat="false" ht="15" hidden="false" customHeight="false" outlineLevel="0" collapsed="false">
      <c r="A37" s="4" t="s">
        <v>194</v>
      </c>
      <c r="B37" s="4" t="s">
        <v>195</v>
      </c>
      <c r="C37" s="4" t="s">
        <v>185</v>
      </c>
      <c r="D37" s="4" t="s">
        <v>39</v>
      </c>
      <c r="E37" s="4" t="s">
        <v>40</v>
      </c>
      <c r="F37" s="6" t="n">
        <v>226.5</v>
      </c>
      <c r="G37" s="6" t="n">
        <v>206.5</v>
      </c>
      <c r="H37" s="6" t="n">
        <v>1.5</v>
      </c>
      <c r="I37" s="9" t="n">
        <v>548</v>
      </c>
      <c r="J37" s="4" t="s">
        <v>196</v>
      </c>
      <c r="K37" s="4" t="s">
        <v>197</v>
      </c>
      <c r="L37" s="4" t="s">
        <v>198</v>
      </c>
    </row>
    <row r="38" customFormat="false" ht="15" hidden="false" customHeight="false" outlineLevel="0" collapsed="false">
      <c r="A38" s="4" t="s">
        <v>199</v>
      </c>
      <c r="B38" s="4" t="s">
        <v>200</v>
      </c>
      <c r="C38" s="4" t="s">
        <v>185</v>
      </c>
      <c r="D38" s="4" t="s">
        <v>39</v>
      </c>
      <c r="E38" s="4" t="s">
        <v>40</v>
      </c>
      <c r="F38" s="6" t="n">
        <v>226.5</v>
      </c>
      <c r="G38" s="6" t="n">
        <v>71</v>
      </c>
      <c r="H38" s="6" t="n">
        <v>1.5</v>
      </c>
      <c r="I38" s="9" t="n">
        <v>182</v>
      </c>
      <c r="J38" s="4" t="s">
        <v>201</v>
      </c>
      <c r="K38" s="4" t="s">
        <v>202</v>
      </c>
      <c r="L38" s="4" t="s">
        <v>203</v>
      </c>
    </row>
    <row r="39" customFormat="false" ht="15" hidden="false" customHeight="false" outlineLevel="0" collapsed="false">
      <c r="A39" s="4" t="s">
        <v>204</v>
      </c>
      <c r="B39" s="4" t="s">
        <v>205</v>
      </c>
      <c r="C39" s="4" t="s">
        <v>185</v>
      </c>
      <c r="D39" s="4" t="s">
        <v>39</v>
      </c>
      <c r="E39" s="4" t="s">
        <v>40</v>
      </c>
      <c r="F39" s="6" t="n">
        <v>226.5</v>
      </c>
      <c r="G39" s="6" t="n">
        <v>71</v>
      </c>
      <c r="H39" s="6" t="n">
        <v>1.5</v>
      </c>
      <c r="I39" s="9" t="n">
        <v>170</v>
      </c>
      <c r="J39" s="4" t="s">
        <v>206</v>
      </c>
      <c r="K39" s="4" t="s">
        <v>207</v>
      </c>
      <c r="L39" s="4" t="s">
        <v>208</v>
      </c>
    </row>
    <row r="40" customFormat="false" ht="23.85" hidden="false" customHeight="false" outlineLevel="0" collapsed="false">
      <c r="A40" s="4" t="s">
        <v>209</v>
      </c>
      <c r="B40" s="4" t="s">
        <v>210</v>
      </c>
      <c r="C40" s="4" t="s">
        <v>185</v>
      </c>
      <c r="D40" s="4" t="s">
        <v>131</v>
      </c>
      <c r="E40" s="4" t="s">
        <v>40</v>
      </c>
      <c r="F40" s="6" t="n">
        <v>40</v>
      </c>
      <c r="G40" s="6" t="n">
        <v>30</v>
      </c>
      <c r="H40" s="6" t="n">
        <v>3</v>
      </c>
      <c r="I40" s="9" t="n">
        <v>19</v>
      </c>
      <c r="J40" s="4" t="s">
        <v>211</v>
      </c>
      <c r="K40" s="4" t="s">
        <v>212</v>
      </c>
      <c r="L40" s="4" t="s">
        <v>213</v>
      </c>
    </row>
    <row r="41" customFormat="false" ht="23.85" hidden="false" customHeight="false" outlineLevel="0" collapsed="false">
      <c r="A41" s="4" t="s">
        <v>214</v>
      </c>
      <c r="B41" s="4" t="s">
        <v>215</v>
      </c>
      <c r="C41" s="4" t="s">
        <v>185</v>
      </c>
      <c r="D41" s="4" t="s">
        <v>131</v>
      </c>
      <c r="E41" s="4" t="s">
        <v>40</v>
      </c>
      <c r="F41" s="6" t="n">
        <v>40</v>
      </c>
      <c r="G41" s="6" t="n">
        <v>30</v>
      </c>
      <c r="H41" s="6" t="n">
        <v>3</v>
      </c>
      <c r="I41" s="9" t="n">
        <v>19</v>
      </c>
      <c r="J41" s="4" t="s">
        <v>216</v>
      </c>
      <c r="K41" s="4" t="s">
        <v>217</v>
      </c>
      <c r="L41" s="4" t="s">
        <v>213</v>
      </c>
    </row>
    <row r="42" customFormat="false" ht="23.85" hidden="false" customHeight="false" outlineLevel="0" collapsed="false">
      <c r="A42" s="4" t="s">
        <v>218</v>
      </c>
      <c r="B42" s="4" t="s">
        <v>219</v>
      </c>
      <c r="C42" s="4" t="s">
        <v>185</v>
      </c>
      <c r="D42" s="4" t="s">
        <v>39</v>
      </c>
      <c r="E42" s="4" t="s">
        <v>40</v>
      </c>
      <c r="F42" s="6" t="n">
        <v>144.5</v>
      </c>
      <c r="G42" s="6" t="n">
        <v>37.5</v>
      </c>
      <c r="H42" s="6" t="n">
        <v>1.5</v>
      </c>
      <c r="I42" s="9" t="n">
        <v>62</v>
      </c>
      <c r="J42" s="4" t="s">
        <v>220</v>
      </c>
      <c r="K42" s="4" t="s">
        <v>221</v>
      </c>
      <c r="L42" s="4" t="s">
        <v>222</v>
      </c>
    </row>
    <row r="43" customFormat="false" ht="15" hidden="false" customHeight="false" outlineLevel="0" collapsed="false">
      <c r="A43" s="4" t="s">
        <v>223</v>
      </c>
      <c r="B43" s="4" t="s">
        <v>224</v>
      </c>
      <c r="C43" s="4" t="s">
        <v>185</v>
      </c>
      <c r="D43" s="4" t="s">
        <v>39</v>
      </c>
      <c r="E43" s="4" t="s">
        <v>40</v>
      </c>
      <c r="F43" s="6" t="n">
        <v>144.5</v>
      </c>
      <c r="G43" s="6" t="n">
        <v>88</v>
      </c>
      <c r="H43" s="6" t="n">
        <v>1.5</v>
      </c>
      <c r="I43" s="9" t="n">
        <v>145</v>
      </c>
      <c r="J43" s="4" t="s">
        <v>225</v>
      </c>
      <c r="K43" s="4" t="s">
        <v>226</v>
      </c>
      <c r="L43" s="4" t="s">
        <v>227</v>
      </c>
    </row>
    <row r="44" customFormat="false" ht="23.85" hidden="false" customHeight="false" outlineLevel="0" collapsed="false">
      <c r="A44" s="4" t="s">
        <v>228</v>
      </c>
      <c r="B44" s="4" t="s">
        <v>229</v>
      </c>
      <c r="C44" s="4" t="s">
        <v>185</v>
      </c>
      <c r="D44" s="4" t="s">
        <v>39</v>
      </c>
      <c r="E44" s="4" t="s">
        <v>40</v>
      </c>
      <c r="F44" s="6" t="n">
        <v>88</v>
      </c>
      <c r="G44" s="6" t="n">
        <v>36</v>
      </c>
      <c r="H44" s="6" t="n">
        <v>1.5</v>
      </c>
      <c r="I44" s="9" t="n">
        <v>37</v>
      </c>
      <c r="J44" s="4" t="s">
        <v>230</v>
      </c>
      <c r="K44" s="4" t="s">
        <v>231</v>
      </c>
      <c r="L44" s="4" t="s">
        <v>232</v>
      </c>
    </row>
    <row r="45" customFormat="false" ht="23.85" hidden="false" customHeight="false" outlineLevel="0" collapsed="false">
      <c r="A45" s="4" t="s">
        <v>233</v>
      </c>
      <c r="B45" s="4" t="s">
        <v>234</v>
      </c>
      <c r="C45" s="4" t="s">
        <v>185</v>
      </c>
      <c r="D45" s="4" t="s">
        <v>39</v>
      </c>
      <c r="E45" s="4" t="s">
        <v>40</v>
      </c>
      <c r="F45" s="6" t="n">
        <v>20</v>
      </c>
      <c r="G45" s="6" t="n">
        <v>14</v>
      </c>
      <c r="H45" s="6" t="n">
        <v>1.5</v>
      </c>
      <c r="I45" s="9" t="n">
        <v>3</v>
      </c>
      <c r="J45" s="4" t="s">
        <v>235</v>
      </c>
      <c r="K45" s="4" t="s">
        <v>236</v>
      </c>
      <c r="L45" s="4" t="s">
        <v>237</v>
      </c>
    </row>
    <row r="46" customFormat="false" ht="23.85" hidden="false" customHeight="false" outlineLevel="0" collapsed="false">
      <c r="A46" s="4" t="s">
        <v>238</v>
      </c>
      <c r="B46" s="4" t="s">
        <v>239</v>
      </c>
      <c r="C46" s="4" t="s">
        <v>185</v>
      </c>
      <c r="D46" s="4" t="s">
        <v>39</v>
      </c>
      <c r="E46" s="4" t="s">
        <v>40</v>
      </c>
      <c r="F46" s="6" t="n">
        <v>20</v>
      </c>
      <c r="G46" s="6" t="n">
        <v>14</v>
      </c>
      <c r="H46" s="6" t="n">
        <v>1.5</v>
      </c>
      <c r="I46" s="9" t="n">
        <v>3</v>
      </c>
      <c r="J46" s="4" t="s">
        <v>240</v>
      </c>
      <c r="K46" s="4" t="s">
        <v>241</v>
      </c>
      <c r="L46" s="4" t="s">
        <v>237</v>
      </c>
    </row>
    <row r="47" customFormat="false" ht="15" hidden="false" customHeight="false" outlineLevel="0" collapsed="false">
      <c r="A47" s="4" t="s">
        <v>242</v>
      </c>
      <c r="B47" s="4" t="s">
        <v>243</v>
      </c>
      <c r="C47" s="4" t="s">
        <v>244</v>
      </c>
      <c r="D47" s="4" t="s">
        <v>39</v>
      </c>
      <c r="E47" s="4" t="s">
        <v>40</v>
      </c>
      <c r="F47" s="6" t="n">
        <v>185</v>
      </c>
      <c r="G47" s="6" t="n">
        <v>11.5</v>
      </c>
      <c r="H47" s="6" t="n">
        <v>1.5</v>
      </c>
      <c r="I47" s="9" t="n">
        <v>25</v>
      </c>
      <c r="J47" s="4" t="s">
        <v>245</v>
      </c>
      <c r="K47" s="4" t="s">
        <v>246</v>
      </c>
      <c r="L47" s="4" t="s">
        <v>247</v>
      </c>
    </row>
    <row r="48" customFormat="false" ht="15" hidden="false" customHeight="false" outlineLevel="0" collapsed="false">
      <c r="A48" s="4" t="s">
        <v>248</v>
      </c>
      <c r="B48" s="4" t="s">
        <v>249</v>
      </c>
      <c r="C48" s="4" t="s">
        <v>244</v>
      </c>
      <c r="D48" s="4" t="s">
        <v>39</v>
      </c>
      <c r="E48" s="4" t="s">
        <v>40</v>
      </c>
      <c r="F48" s="6" t="n">
        <v>185</v>
      </c>
      <c r="G48" s="6" t="n">
        <v>11.5</v>
      </c>
      <c r="H48" s="6" t="n">
        <v>1.5</v>
      </c>
      <c r="I48" s="9" t="n">
        <v>25</v>
      </c>
      <c r="J48" s="4" t="s">
        <v>250</v>
      </c>
      <c r="K48" s="4" t="s">
        <v>251</v>
      </c>
      <c r="L48" s="4" t="s">
        <v>247</v>
      </c>
    </row>
    <row r="49" customFormat="false" ht="15" hidden="false" customHeight="false" outlineLevel="0" collapsed="false">
      <c r="A49" s="4" t="s">
        <v>252</v>
      </c>
      <c r="B49" s="4" t="s">
        <v>253</v>
      </c>
      <c r="C49" s="4" t="s">
        <v>244</v>
      </c>
      <c r="D49" s="4" t="s">
        <v>39</v>
      </c>
      <c r="E49" s="4" t="s">
        <v>40</v>
      </c>
      <c r="F49" s="6" t="n">
        <v>89.2</v>
      </c>
      <c r="G49" s="6" t="n">
        <v>22</v>
      </c>
      <c r="H49" s="6" t="n">
        <v>1.5</v>
      </c>
      <c r="I49" s="9" t="n">
        <v>20</v>
      </c>
      <c r="J49" s="4" t="s">
        <v>254</v>
      </c>
      <c r="K49" s="4" t="s">
        <v>255</v>
      </c>
      <c r="L49" s="4" t="s">
        <v>256</v>
      </c>
    </row>
    <row r="50" customFormat="false" ht="15" hidden="false" customHeight="false" outlineLevel="0" collapsed="false">
      <c r="A50" s="4" t="s">
        <v>257</v>
      </c>
      <c r="B50" s="4" t="s">
        <v>258</v>
      </c>
      <c r="C50" s="4" t="s">
        <v>244</v>
      </c>
      <c r="D50" s="4" t="s">
        <v>39</v>
      </c>
      <c r="E50" s="4" t="s">
        <v>40</v>
      </c>
      <c r="F50" s="6" t="n">
        <v>101.2</v>
      </c>
      <c r="G50" s="6" t="n">
        <v>42</v>
      </c>
      <c r="H50" s="6" t="n">
        <v>1.5</v>
      </c>
      <c r="I50" s="9" t="n">
        <v>50</v>
      </c>
      <c r="J50" s="4" t="s">
        <v>259</v>
      </c>
      <c r="K50" s="4" t="s">
        <v>260</v>
      </c>
      <c r="L50" s="4" t="s">
        <v>261</v>
      </c>
    </row>
    <row r="51" customFormat="false" ht="15" hidden="false" customHeight="false" outlineLevel="0" collapsed="false">
      <c r="A51" s="10" t="s">
        <v>262</v>
      </c>
      <c r="B51" s="10" t="str">
        <f aca="false">COUNTA(A5:A50)&amp;" piezas"</f>
        <v>46 piezas</v>
      </c>
      <c r="C51" s="11"/>
      <c r="D51" s="11"/>
      <c r="E51" s="11"/>
      <c r="F51" s="11"/>
      <c r="G51" s="11"/>
      <c r="H51" s="11"/>
      <c r="I51" s="12" t="n">
        <f aca="false">SUM(I5:I50)</f>
        <v>7795</v>
      </c>
      <c r="J51" s="11"/>
      <c r="K51" s="11"/>
      <c r="L51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34"/>
    <col collapsed="false" customWidth="true" hidden="false" outlineLevel="0" max="11" min="11" style="0" width="52"/>
  </cols>
  <sheetData>
    <row r="1" customFormat="false" ht="17.35" hidden="false" customHeight="false" outlineLevel="0" collapsed="false">
      <c r="A1" s="1" t="s">
        <v>263</v>
      </c>
    </row>
    <row r="2" customFormat="false" ht="15" hidden="false" customHeight="false" outlineLevel="0" collapsed="false">
      <c r="A2" s="2" t="s">
        <v>264</v>
      </c>
    </row>
    <row r="4" customFormat="false" ht="30" hidden="false" customHeight="true" outlineLevel="0" collapsed="false">
      <c r="A4" s="3" t="s">
        <v>265</v>
      </c>
      <c r="B4" s="3" t="s">
        <v>266</v>
      </c>
      <c r="C4" s="3" t="s">
        <v>267</v>
      </c>
      <c r="D4" s="3" t="s">
        <v>268</v>
      </c>
      <c r="E4" s="3" t="s">
        <v>269</v>
      </c>
      <c r="F4" s="3" t="s">
        <v>270</v>
      </c>
      <c r="G4" s="3" t="s">
        <v>271</v>
      </c>
      <c r="H4" s="3" t="s">
        <v>272</v>
      </c>
      <c r="I4" s="3" t="s">
        <v>273</v>
      </c>
      <c r="J4" s="3" t="s">
        <v>274</v>
      </c>
      <c r="K4" s="3" t="s">
        <v>19</v>
      </c>
    </row>
    <row r="5" customFormat="false" ht="15" hidden="false" customHeight="false" outlineLevel="0" collapsed="false">
      <c r="A5" s="4" t="s">
        <v>275</v>
      </c>
      <c r="B5" s="4" t="s">
        <v>276</v>
      </c>
      <c r="C5" s="4" t="s">
        <v>277</v>
      </c>
      <c r="D5" s="13" t="s">
        <v>278</v>
      </c>
      <c r="E5" s="4" t="n">
        <v>1</v>
      </c>
      <c r="F5" s="14"/>
      <c r="G5" s="15" t="n">
        <v>1</v>
      </c>
      <c r="H5" s="7" t="n">
        <v>45.99</v>
      </c>
      <c r="I5" s="7" t="n">
        <f aca="false">G5*H5</f>
        <v>45.99</v>
      </c>
      <c r="J5" s="4" t="s">
        <v>279</v>
      </c>
      <c r="K5" s="4"/>
    </row>
    <row r="6" customFormat="false" ht="15" hidden="false" customHeight="false" outlineLevel="0" collapsed="false">
      <c r="A6" s="4" t="s">
        <v>280</v>
      </c>
      <c r="B6" s="4" t="s">
        <v>281</v>
      </c>
      <c r="C6" s="4" t="s">
        <v>282</v>
      </c>
      <c r="D6" s="13" t="s">
        <v>283</v>
      </c>
      <c r="E6" s="4" t="n">
        <v>1</v>
      </c>
      <c r="F6" s="14"/>
      <c r="G6" s="15" t="n">
        <v>1</v>
      </c>
      <c r="H6" s="7" t="n">
        <v>72.18</v>
      </c>
      <c r="I6" s="7" t="n">
        <f aca="false">G6*H6</f>
        <v>72.18</v>
      </c>
      <c r="J6" s="4" t="s">
        <v>284</v>
      </c>
      <c r="K6" s="4"/>
    </row>
    <row r="7" customFormat="false" ht="15" hidden="false" customHeight="false" outlineLevel="0" collapsed="false">
      <c r="A7" s="4" t="s">
        <v>285</v>
      </c>
      <c r="B7" s="4" t="s">
        <v>286</v>
      </c>
      <c r="C7" s="4" t="s">
        <v>287</v>
      </c>
      <c r="D7" s="13" t="s">
        <v>288</v>
      </c>
      <c r="E7" s="4" t="n">
        <v>1</v>
      </c>
      <c r="F7" s="14"/>
      <c r="G7" s="15" t="n">
        <v>1</v>
      </c>
      <c r="H7" s="7" t="n">
        <v>48.04</v>
      </c>
      <c r="I7" s="7" t="n">
        <f aca="false">G7*H7</f>
        <v>48.04</v>
      </c>
      <c r="J7" s="4" t="s">
        <v>289</v>
      </c>
      <c r="K7" s="4"/>
    </row>
    <row r="8" customFormat="false" ht="15" hidden="false" customHeight="false" outlineLevel="0" collapsed="false">
      <c r="A8" s="4" t="s">
        <v>290</v>
      </c>
      <c r="B8" s="4" t="s">
        <v>291</v>
      </c>
      <c r="C8" s="4" t="s">
        <v>292</v>
      </c>
      <c r="D8" s="13" t="s">
        <v>293</v>
      </c>
      <c r="E8" s="4" t="n">
        <v>1</v>
      </c>
      <c r="F8" s="14"/>
      <c r="G8" s="15" t="n">
        <v>1</v>
      </c>
      <c r="H8" s="7" t="n">
        <v>54.9</v>
      </c>
      <c r="I8" s="7" t="n">
        <f aca="false">G8*H8</f>
        <v>54.9</v>
      </c>
      <c r="J8" s="4" t="s">
        <v>294</v>
      </c>
      <c r="K8" s="4"/>
    </row>
    <row r="9" customFormat="false" ht="15" hidden="false" customHeight="false" outlineLevel="0" collapsed="false">
      <c r="A9" s="4" t="s">
        <v>295</v>
      </c>
      <c r="B9" s="4" t="s">
        <v>296</v>
      </c>
      <c r="C9" s="4" t="s">
        <v>297</v>
      </c>
      <c r="D9" s="13" t="s">
        <v>298</v>
      </c>
      <c r="E9" s="4" t="n">
        <v>1</v>
      </c>
      <c r="F9" s="14"/>
      <c r="G9" s="15" t="n">
        <v>1</v>
      </c>
      <c r="H9" s="7" t="n">
        <v>16.24</v>
      </c>
      <c r="I9" s="7" t="n">
        <f aca="false">G9*H9</f>
        <v>16.24</v>
      </c>
      <c r="J9" s="4" t="s">
        <v>299</v>
      </c>
      <c r="K9" s="4"/>
    </row>
    <row r="10" customFormat="false" ht="23.85" hidden="false" customHeight="false" outlineLevel="0" collapsed="false">
      <c r="A10" s="4" t="s">
        <v>300</v>
      </c>
      <c r="B10" s="4" t="s">
        <v>301</v>
      </c>
      <c r="C10" s="4" t="s">
        <v>302</v>
      </c>
      <c r="D10" s="13" t="s">
        <v>303</v>
      </c>
      <c r="E10" s="4" t="n">
        <v>1</v>
      </c>
      <c r="F10" s="14"/>
      <c r="G10" s="15" t="n">
        <v>1</v>
      </c>
      <c r="H10" s="7" t="n">
        <v>18.52</v>
      </c>
      <c r="I10" s="7" t="n">
        <f aca="false">G10*H10</f>
        <v>18.52</v>
      </c>
      <c r="J10" s="4" t="s">
        <v>304</v>
      </c>
      <c r="K10" s="4"/>
    </row>
    <row r="11" customFormat="false" ht="15" hidden="false" customHeight="false" outlineLevel="0" collapsed="false">
      <c r="A11" s="4" t="s">
        <v>305</v>
      </c>
      <c r="B11" s="4" t="s">
        <v>306</v>
      </c>
      <c r="C11" s="4" t="s">
        <v>307</v>
      </c>
      <c r="D11" s="13" t="s">
        <v>308</v>
      </c>
      <c r="E11" s="4" t="n">
        <v>1</v>
      </c>
      <c r="F11" s="14"/>
      <c r="G11" s="15" t="n">
        <v>1</v>
      </c>
      <c r="H11" s="7" t="n">
        <v>7.7</v>
      </c>
      <c r="I11" s="7" t="n">
        <f aca="false">G11*H11</f>
        <v>7.7</v>
      </c>
      <c r="J11" s="4" t="s">
        <v>309</v>
      </c>
      <c r="K11" s="4"/>
    </row>
    <row r="12" customFormat="false" ht="15" hidden="false" customHeight="false" outlineLevel="0" collapsed="false">
      <c r="A12" s="4" t="s">
        <v>310</v>
      </c>
      <c r="B12" s="4" t="s">
        <v>311</v>
      </c>
      <c r="C12" s="4" t="s">
        <v>312</v>
      </c>
      <c r="D12" s="13" t="s">
        <v>313</v>
      </c>
      <c r="E12" s="4" t="n">
        <v>2</v>
      </c>
      <c r="F12" s="4" t="n">
        <v>25</v>
      </c>
      <c r="G12" s="14" t="n">
        <f aca="false">ROUNDUP(E12/F12,0)</f>
        <v>1</v>
      </c>
      <c r="H12" s="7" t="n">
        <v>27.08</v>
      </c>
      <c r="I12" s="7" t="n">
        <f aca="false">G12*H12</f>
        <v>27.08</v>
      </c>
      <c r="J12" s="4" t="s">
        <v>314</v>
      </c>
      <c r="K12" s="4"/>
    </row>
    <row r="13" customFormat="false" ht="15" hidden="false" customHeight="false" outlineLevel="0" collapsed="false">
      <c r="A13" s="4" t="s">
        <v>315</v>
      </c>
      <c r="B13" s="4" t="s">
        <v>316</v>
      </c>
      <c r="C13" s="4" t="s">
        <v>317</v>
      </c>
      <c r="D13" s="13" t="s">
        <v>318</v>
      </c>
      <c r="E13" s="4" t="n">
        <v>2</v>
      </c>
      <c r="F13" s="4" t="n">
        <v>2</v>
      </c>
      <c r="G13" s="14" t="n">
        <f aca="false">ROUNDUP(E13/F13,0)</f>
        <v>1</v>
      </c>
      <c r="H13" s="7" t="n">
        <v>10.99</v>
      </c>
      <c r="I13" s="7" t="n">
        <f aca="false">G13*H13</f>
        <v>10.99</v>
      </c>
      <c r="J13" s="4" t="s">
        <v>319</v>
      </c>
      <c r="K13" s="4"/>
    </row>
    <row r="14" customFormat="false" ht="15" hidden="false" customHeight="false" outlineLevel="0" collapsed="false">
      <c r="A14" s="4" t="s">
        <v>320</v>
      </c>
      <c r="B14" s="4" t="s">
        <v>321</v>
      </c>
      <c r="C14" s="4" t="s">
        <v>322</v>
      </c>
      <c r="D14" s="13" t="s">
        <v>323</v>
      </c>
      <c r="E14" s="4" t="n">
        <v>4</v>
      </c>
      <c r="F14" s="14"/>
      <c r="G14" s="15" t="n">
        <v>1</v>
      </c>
      <c r="H14" s="7" t="n">
        <v>9.49</v>
      </c>
      <c r="I14" s="7" t="n">
        <f aca="false">G14*H14</f>
        <v>9.49</v>
      </c>
      <c r="J14" s="4" t="s">
        <v>324</v>
      </c>
      <c r="K14" s="4"/>
    </row>
    <row r="15" customFormat="false" ht="15" hidden="false" customHeight="false" outlineLevel="0" collapsed="false">
      <c r="A15" s="4" t="s">
        <v>325</v>
      </c>
      <c r="B15" s="4" t="s">
        <v>326</v>
      </c>
      <c r="C15" s="4" t="s">
        <v>327</v>
      </c>
      <c r="D15" s="13" t="s">
        <v>328</v>
      </c>
      <c r="E15" s="4" t="n">
        <v>1</v>
      </c>
      <c r="F15" s="14"/>
      <c r="G15" s="15" t="n">
        <v>1</v>
      </c>
      <c r="H15" s="7" t="n">
        <v>108.46</v>
      </c>
      <c r="I15" s="7" t="n">
        <f aca="false">G15*H15</f>
        <v>108.46</v>
      </c>
      <c r="J15" s="4" t="s">
        <v>329</v>
      </c>
      <c r="K15" s="4"/>
    </row>
    <row r="16" customFormat="false" ht="15" hidden="false" customHeight="false" outlineLevel="0" collapsed="false">
      <c r="A16" s="4" t="s">
        <v>330</v>
      </c>
      <c r="B16" s="4" t="s">
        <v>331</v>
      </c>
      <c r="C16" s="4" t="s">
        <v>332</v>
      </c>
      <c r="D16" s="13" t="s">
        <v>333</v>
      </c>
      <c r="E16" s="4" t="n">
        <v>1</v>
      </c>
      <c r="F16" s="4" t="n">
        <v>2</v>
      </c>
      <c r="G16" s="14" t="n">
        <f aca="false">ROUNDUP(E16/F16,0)</f>
        <v>1</v>
      </c>
      <c r="H16" s="7" t="n">
        <v>9.99</v>
      </c>
      <c r="I16" s="7" t="n">
        <f aca="false">G16*H16</f>
        <v>9.99</v>
      </c>
      <c r="J16" s="4" t="s">
        <v>334</v>
      </c>
      <c r="K16" s="4"/>
    </row>
    <row r="17" customFormat="false" ht="15" hidden="false" customHeight="false" outlineLevel="0" collapsed="false">
      <c r="A17" s="4" t="s">
        <v>335</v>
      </c>
      <c r="B17" s="4" t="s">
        <v>336</v>
      </c>
      <c r="C17" s="4" t="s">
        <v>337</v>
      </c>
      <c r="D17" s="13" t="s">
        <v>338</v>
      </c>
      <c r="E17" s="4" t="n">
        <v>1</v>
      </c>
      <c r="F17" s="14"/>
      <c r="G17" s="15" t="n">
        <v>1</v>
      </c>
      <c r="H17" s="7" t="n">
        <v>6.99</v>
      </c>
      <c r="I17" s="7" t="n">
        <f aca="false">G17*H17</f>
        <v>6.99</v>
      </c>
      <c r="J17" s="4" t="s">
        <v>339</v>
      </c>
      <c r="K17" s="4" t="s">
        <v>340</v>
      </c>
    </row>
    <row r="18" customFormat="false" ht="15" hidden="false" customHeight="false" outlineLevel="0" collapsed="false">
      <c r="A18" s="4" t="s">
        <v>341</v>
      </c>
      <c r="B18" s="4" t="s">
        <v>342</v>
      </c>
      <c r="C18" s="4" t="s">
        <v>343</v>
      </c>
      <c r="D18" s="13" t="s">
        <v>344</v>
      </c>
      <c r="E18" s="4" t="n">
        <v>2</v>
      </c>
      <c r="F18" s="14"/>
      <c r="G18" s="15" t="n">
        <v>1</v>
      </c>
      <c r="H18" s="7" t="n">
        <v>4.74</v>
      </c>
      <c r="I18" s="7" t="n">
        <f aca="false">G18*H18</f>
        <v>4.74</v>
      </c>
      <c r="J18" s="4" t="s">
        <v>339</v>
      </c>
      <c r="K18" s="4" t="s">
        <v>345</v>
      </c>
    </row>
    <row r="19" customFormat="false" ht="23.85" hidden="false" customHeight="false" outlineLevel="0" collapsed="false">
      <c r="A19" s="4" t="s">
        <v>346</v>
      </c>
      <c r="B19" s="4" t="s">
        <v>347</v>
      </c>
      <c r="C19" s="4" t="s">
        <v>348</v>
      </c>
      <c r="D19" s="13" t="s">
        <v>349</v>
      </c>
      <c r="E19" s="4" t="n">
        <v>1</v>
      </c>
      <c r="F19" s="14"/>
      <c r="G19" s="15" t="n">
        <v>1</v>
      </c>
      <c r="H19" s="7" t="n">
        <v>8.2</v>
      </c>
      <c r="I19" s="7" t="n">
        <f aca="false">G19*H19</f>
        <v>8.2</v>
      </c>
      <c r="J19" s="4" t="s">
        <v>339</v>
      </c>
      <c r="K19" s="4" t="s">
        <v>350</v>
      </c>
    </row>
    <row r="20" customFormat="false" ht="15" hidden="false" customHeight="false" outlineLevel="0" collapsed="false">
      <c r="A20" s="4" t="s">
        <v>351</v>
      </c>
      <c r="B20" s="4" t="s">
        <v>352</v>
      </c>
      <c r="C20" s="4" t="s">
        <v>353</v>
      </c>
      <c r="D20" s="13" t="s">
        <v>354</v>
      </c>
      <c r="E20" s="4" t="n">
        <v>1</v>
      </c>
      <c r="F20" s="14"/>
      <c r="G20" s="15" t="n">
        <v>1</v>
      </c>
      <c r="H20" s="7" t="n">
        <v>8.09</v>
      </c>
      <c r="I20" s="7" t="n">
        <f aca="false">G20*H20</f>
        <v>8.09</v>
      </c>
      <c r="J20" s="4" t="s">
        <v>355</v>
      </c>
      <c r="K20" s="4" t="s">
        <v>356</v>
      </c>
    </row>
    <row r="21" customFormat="false" ht="15" hidden="false" customHeight="false" outlineLevel="0" collapsed="false">
      <c r="A21" s="4" t="s">
        <v>357</v>
      </c>
      <c r="B21" s="4" t="s">
        <v>358</v>
      </c>
      <c r="C21" s="4" t="s">
        <v>359</v>
      </c>
      <c r="D21" s="13" t="s">
        <v>360</v>
      </c>
      <c r="E21" s="4" t="n">
        <v>2</v>
      </c>
      <c r="F21" s="4" t="n">
        <v>1</v>
      </c>
      <c r="G21" s="14" t="n">
        <f aca="false">ROUNDUP(E21/F21,0)</f>
        <v>2</v>
      </c>
      <c r="H21" s="7" t="n">
        <v>4.99</v>
      </c>
      <c r="I21" s="7" t="n">
        <f aca="false">G21*H21</f>
        <v>9.98</v>
      </c>
      <c r="J21" s="4" t="s">
        <v>361</v>
      </c>
      <c r="K21" s="4" t="s">
        <v>362</v>
      </c>
    </row>
    <row r="22" customFormat="false" ht="15" hidden="false" customHeight="false" outlineLevel="0" collapsed="false">
      <c r="A22" s="4" t="s">
        <v>363</v>
      </c>
      <c r="B22" s="4" t="s">
        <v>364</v>
      </c>
      <c r="C22" s="4" t="s">
        <v>365</v>
      </c>
      <c r="D22" s="13" t="s">
        <v>366</v>
      </c>
      <c r="E22" s="4" t="n">
        <v>1</v>
      </c>
      <c r="F22" s="4" t="n">
        <v>6</v>
      </c>
      <c r="G22" s="14" t="n">
        <f aca="false">ROUNDUP(E22/F22,0)</f>
        <v>1</v>
      </c>
      <c r="H22" s="7" t="n">
        <v>8.49</v>
      </c>
      <c r="I22" s="7" t="n">
        <f aca="false">G22*H22</f>
        <v>8.49</v>
      </c>
      <c r="J22" s="4" t="s">
        <v>339</v>
      </c>
      <c r="K22" s="4" t="s">
        <v>367</v>
      </c>
    </row>
    <row r="23" customFormat="false" ht="15" hidden="false" customHeight="false" outlineLevel="0" collapsed="false">
      <c r="A23" s="4" t="s">
        <v>368</v>
      </c>
      <c r="B23" s="4" t="s">
        <v>369</v>
      </c>
      <c r="C23" s="4" t="s">
        <v>370</v>
      </c>
      <c r="D23" s="13" t="s">
        <v>371</v>
      </c>
      <c r="E23" s="4" t="n">
        <v>1</v>
      </c>
      <c r="F23" s="14"/>
      <c r="G23" s="15" t="n">
        <v>1</v>
      </c>
      <c r="H23" s="7" t="n">
        <v>8.99</v>
      </c>
      <c r="I23" s="7" t="n">
        <f aca="false">G23*H23</f>
        <v>8.99</v>
      </c>
      <c r="J23" s="4" t="s">
        <v>339</v>
      </c>
      <c r="K23" s="4" t="s">
        <v>372</v>
      </c>
    </row>
    <row r="24" customFormat="false" ht="15" hidden="false" customHeight="false" outlineLevel="0" collapsed="false">
      <c r="A24" s="4" t="s">
        <v>373</v>
      </c>
      <c r="B24" s="4" t="s">
        <v>374</v>
      </c>
      <c r="C24" s="4" t="s">
        <v>375</v>
      </c>
      <c r="D24" s="13" t="s">
        <v>376</v>
      </c>
      <c r="E24" s="4" t="n">
        <v>1</v>
      </c>
      <c r="F24" s="14"/>
      <c r="G24" s="15" t="n">
        <v>1</v>
      </c>
      <c r="H24" s="7" t="n">
        <v>15.99</v>
      </c>
      <c r="I24" s="7" t="n">
        <f aca="false">G24*H24</f>
        <v>15.99</v>
      </c>
      <c r="J24" s="4" t="s">
        <v>339</v>
      </c>
      <c r="K24" s="4" t="s">
        <v>377</v>
      </c>
    </row>
    <row r="25" customFormat="false" ht="15" hidden="false" customHeight="false" outlineLevel="0" collapsed="false">
      <c r="A25" s="4" t="s">
        <v>378</v>
      </c>
      <c r="B25" s="4" t="s">
        <v>379</v>
      </c>
      <c r="C25" s="4" t="s">
        <v>380</v>
      </c>
      <c r="D25" s="13" t="s">
        <v>381</v>
      </c>
      <c r="E25" s="4" t="n">
        <v>1</v>
      </c>
      <c r="F25" s="14"/>
      <c r="G25" s="15" t="n">
        <v>1</v>
      </c>
      <c r="H25" s="7" t="n">
        <v>20.49</v>
      </c>
      <c r="I25" s="7" t="n">
        <f aca="false">G25*H25</f>
        <v>20.49</v>
      </c>
      <c r="J25" s="4" t="s">
        <v>339</v>
      </c>
      <c r="K25" s="4"/>
    </row>
    <row r="26" customFormat="false" ht="15" hidden="false" customHeight="false" outlineLevel="0" collapsed="false">
      <c r="A26" s="4" t="s">
        <v>382</v>
      </c>
      <c r="B26" s="4" t="s">
        <v>383</v>
      </c>
      <c r="C26" s="4" t="s">
        <v>384</v>
      </c>
      <c r="D26" s="13" t="s">
        <v>385</v>
      </c>
      <c r="E26" s="4" t="n">
        <v>1</v>
      </c>
      <c r="F26" s="14"/>
      <c r="G26" s="15" t="n">
        <v>1</v>
      </c>
      <c r="H26" s="7" t="n">
        <v>7</v>
      </c>
      <c r="I26" s="7" t="n">
        <f aca="false">G26*H26</f>
        <v>7</v>
      </c>
      <c r="J26" s="4" t="s">
        <v>339</v>
      </c>
      <c r="K26" s="4" t="s">
        <v>386</v>
      </c>
    </row>
    <row r="27" customFormat="false" ht="15" hidden="false" customHeight="false" outlineLevel="0" collapsed="false">
      <c r="A27" s="4" t="s">
        <v>387</v>
      </c>
      <c r="B27" s="4" t="s">
        <v>388</v>
      </c>
      <c r="C27" s="4" t="s">
        <v>389</v>
      </c>
      <c r="D27" s="13" t="s">
        <v>390</v>
      </c>
      <c r="E27" s="4" t="n">
        <v>4</v>
      </c>
      <c r="F27" s="4" t="n">
        <v>4</v>
      </c>
      <c r="G27" s="14" t="n">
        <f aca="false">ROUNDUP(E27/F27,0)</f>
        <v>1</v>
      </c>
      <c r="H27" s="7" t="n">
        <v>9.33</v>
      </c>
      <c r="I27" s="7" t="n">
        <f aca="false">G27*H27</f>
        <v>9.33</v>
      </c>
      <c r="J27" s="4" t="s">
        <v>391</v>
      </c>
      <c r="K27" s="4"/>
    </row>
    <row r="28" customFormat="false" ht="46.25" hidden="false" customHeight="false" outlineLevel="0" collapsed="false">
      <c r="A28" s="4" t="s">
        <v>392</v>
      </c>
      <c r="B28" s="4" t="s">
        <v>393</v>
      </c>
      <c r="C28" s="4" t="s">
        <v>394</v>
      </c>
      <c r="D28" s="13" t="s">
        <v>395</v>
      </c>
      <c r="E28" s="4" t="n">
        <v>24</v>
      </c>
      <c r="F28" s="14"/>
      <c r="G28" s="15" t="n">
        <v>1</v>
      </c>
      <c r="H28" s="7" t="n">
        <v>6.29</v>
      </c>
      <c r="I28" s="7" t="n">
        <f aca="false">G28*H28</f>
        <v>6.29</v>
      </c>
      <c r="J28" s="4" t="s">
        <v>396</v>
      </c>
      <c r="K28" s="4"/>
    </row>
    <row r="29" customFormat="false" ht="15" hidden="false" customHeight="false" outlineLevel="0" collapsed="false">
      <c r="A29" s="4" t="s">
        <v>397</v>
      </c>
      <c r="B29" s="4" t="s">
        <v>398</v>
      </c>
      <c r="C29" s="4" t="s">
        <v>399</v>
      </c>
      <c r="D29" s="13" t="s">
        <v>400</v>
      </c>
      <c r="E29" s="4" t="n">
        <v>1</v>
      </c>
      <c r="F29" s="14"/>
      <c r="G29" s="15" t="n">
        <v>1</v>
      </c>
      <c r="H29" s="7" t="n">
        <v>6.99</v>
      </c>
      <c r="I29" s="7" t="n">
        <f aca="false">G29*H29</f>
        <v>6.99</v>
      </c>
      <c r="J29" s="4" t="s">
        <v>401</v>
      </c>
      <c r="K29" s="4" t="s">
        <v>402</v>
      </c>
    </row>
    <row r="30" customFormat="false" ht="15" hidden="false" customHeight="false" outlineLevel="0" collapsed="false">
      <c r="A30" s="4" t="s">
        <v>403</v>
      </c>
      <c r="B30" s="4" t="s">
        <v>404</v>
      </c>
      <c r="C30" s="4" t="s">
        <v>405</v>
      </c>
      <c r="D30" s="13" t="s">
        <v>406</v>
      </c>
      <c r="E30" s="4" t="n">
        <v>1</v>
      </c>
      <c r="F30" s="14"/>
      <c r="G30" s="15" t="n">
        <v>1</v>
      </c>
      <c r="H30" s="7" t="n">
        <v>9.99</v>
      </c>
      <c r="I30" s="7" t="n">
        <f aca="false">G30*H30</f>
        <v>9.99</v>
      </c>
      <c r="J30" s="4" t="s">
        <v>407</v>
      </c>
      <c r="K30" s="4"/>
    </row>
    <row r="31" customFormat="false" ht="15" hidden="false" customHeight="false" outlineLevel="0" collapsed="false">
      <c r="A31" s="4" t="s">
        <v>408</v>
      </c>
      <c r="B31" s="4" t="s">
        <v>409</v>
      </c>
      <c r="C31" s="4" t="s">
        <v>410</v>
      </c>
      <c r="D31" s="13" t="s">
        <v>411</v>
      </c>
      <c r="E31" s="4" t="n">
        <v>2</v>
      </c>
      <c r="F31" s="4" t="n">
        <v>20</v>
      </c>
      <c r="G31" s="14" t="n">
        <f aca="false">ROUNDUP(E31/F31,0)</f>
        <v>1</v>
      </c>
      <c r="H31" s="7" t="n">
        <v>7.87</v>
      </c>
      <c r="I31" s="7" t="n">
        <f aca="false">G31*H31</f>
        <v>7.87</v>
      </c>
      <c r="J31" s="4" t="s">
        <v>412</v>
      </c>
      <c r="K31" s="4"/>
    </row>
    <row r="32" customFormat="false" ht="23.85" hidden="false" customHeight="false" outlineLevel="0" collapsed="false">
      <c r="A32" s="4" t="s">
        <v>413</v>
      </c>
      <c r="B32" s="4" t="s">
        <v>414</v>
      </c>
      <c r="C32" s="4" t="s">
        <v>410</v>
      </c>
      <c r="D32" s="13" t="s">
        <v>411</v>
      </c>
      <c r="E32" s="4" t="n">
        <v>8</v>
      </c>
      <c r="F32" s="4" t="n">
        <v>20</v>
      </c>
      <c r="G32" s="14" t="n">
        <f aca="false">ROUNDUP(E32/F32,0)</f>
        <v>1</v>
      </c>
      <c r="H32" s="7" t="n">
        <v>8.4</v>
      </c>
      <c r="I32" s="7" t="n">
        <f aca="false">G32*H32</f>
        <v>8.4</v>
      </c>
      <c r="J32" s="4" t="s">
        <v>415</v>
      </c>
      <c r="K32" s="4"/>
    </row>
    <row r="33" customFormat="false" ht="15" hidden="false" customHeight="false" outlineLevel="0" collapsed="false">
      <c r="A33" s="4" t="s">
        <v>416</v>
      </c>
      <c r="B33" s="4" t="s">
        <v>417</v>
      </c>
      <c r="C33" s="4" t="s">
        <v>418</v>
      </c>
      <c r="D33" s="13" t="s">
        <v>419</v>
      </c>
      <c r="E33" s="4" t="n">
        <v>4</v>
      </c>
      <c r="F33" s="14"/>
      <c r="G33" s="15" t="n">
        <v>1</v>
      </c>
      <c r="H33" s="7" t="n">
        <v>8.99</v>
      </c>
      <c r="I33" s="7" t="n">
        <f aca="false">G33*H33</f>
        <v>8.99</v>
      </c>
      <c r="J33" s="4" t="s">
        <v>339</v>
      </c>
      <c r="K33" s="4" t="s">
        <v>420</v>
      </c>
    </row>
    <row r="34" customFormat="false" ht="23.85" hidden="false" customHeight="false" outlineLevel="0" collapsed="false">
      <c r="A34" s="4" t="s">
        <v>421</v>
      </c>
      <c r="B34" s="4" t="s">
        <v>422</v>
      </c>
      <c r="C34" s="4" t="s">
        <v>423</v>
      </c>
      <c r="D34" s="13" t="s">
        <v>424</v>
      </c>
      <c r="E34" s="4" t="n">
        <v>10</v>
      </c>
      <c r="F34" s="4" t="n">
        <v>350</v>
      </c>
      <c r="G34" s="14" t="n">
        <f aca="false">ROUNDUP(E34/F34,0)</f>
        <v>1</v>
      </c>
      <c r="H34" s="7" t="n">
        <v>9.99</v>
      </c>
      <c r="I34" s="7" t="n">
        <f aca="false">G34*H34</f>
        <v>9.99</v>
      </c>
      <c r="J34" s="4" t="s">
        <v>425</v>
      </c>
      <c r="K34" s="4"/>
    </row>
    <row r="35" customFormat="false" ht="15" hidden="false" customHeight="false" outlineLevel="0" collapsed="false">
      <c r="A35" s="4" t="s">
        <v>426</v>
      </c>
      <c r="B35" s="4" t="s">
        <v>427</v>
      </c>
      <c r="C35" s="4" t="s">
        <v>428</v>
      </c>
      <c r="D35" s="13" t="s">
        <v>429</v>
      </c>
      <c r="E35" s="4" t="n">
        <v>3</v>
      </c>
      <c r="F35" s="4" t="n">
        <v>260</v>
      </c>
      <c r="G35" s="14" t="n">
        <f aca="false">ROUNDUP(E35/F35,0)</f>
        <v>1</v>
      </c>
      <c r="H35" s="7" t="n">
        <v>7.99</v>
      </c>
      <c r="I35" s="7" t="n">
        <f aca="false">G35*H35</f>
        <v>7.99</v>
      </c>
      <c r="J35" s="4" t="s">
        <v>430</v>
      </c>
      <c r="K35" s="4"/>
    </row>
    <row r="36" customFormat="false" ht="15" hidden="false" customHeight="false" outlineLevel="0" collapsed="false">
      <c r="A36" s="4" t="s">
        <v>431</v>
      </c>
      <c r="B36" s="4" t="s">
        <v>432</v>
      </c>
      <c r="C36" s="4" t="s">
        <v>433</v>
      </c>
      <c r="D36" s="13" t="s">
        <v>434</v>
      </c>
      <c r="E36" s="4" t="n">
        <v>1</v>
      </c>
      <c r="F36" s="14"/>
      <c r="G36" s="15" t="n">
        <v>1</v>
      </c>
      <c r="H36" s="7" t="n">
        <v>94.33</v>
      </c>
      <c r="I36" s="7" t="n">
        <f aca="false">G36*H36</f>
        <v>94.33</v>
      </c>
      <c r="J36" s="4" t="s">
        <v>339</v>
      </c>
      <c r="K36" s="4" t="s">
        <v>435</v>
      </c>
    </row>
    <row r="37" customFormat="false" ht="23.85" hidden="false" customHeight="false" outlineLevel="0" collapsed="false">
      <c r="A37" s="4" t="s">
        <v>436</v>
      </c>
      <c r="B37" s="4" t="s">
        <v>437</v>
      </c>
      <c r="C37" s="4"/>
      <c r="D37" s="4"/>
      <c r="E37" s="4" t="n">
        <v>10</v>
      </c>
      <c r="F37" s="14"/>
      <c r="G37" s="15" t="n">
        <v>1</v>
      </c>
      <c r="H37" s="7" t="n">
        <v>0</v>
      </c>
      <c r="I37" s="7" t="n">
        <f aca="false">G37*H37</f>
        <v>0</v>
      </c>
      <c r="J37" s="4" t="s">
        <v>438</v>
      </c>
      <c r="K37" s="4" t="s">
        <v>439</v>
      </c>
    </row>
    <row r="38" customFormat="false" ht="15" hidden="false" customHeight="false" outlineLevel="0" collapsed="false">
      <c r="A38" s="4" t="s">
        <v>440</v>
      </c>
      <c r="B38" s="4" t="s">
        <v>441</v>
      </c>
      <c r="C38" s="4" t="s">
        <v>442</v>
      </c>
      <c r="D38" s="13" t="s">
        <v>443</v>
      </c>
      <c r="E38" s="4" t="n">
        <v>1</v>
      </c>
      <c r="F38" s="14"/>
      <c r="G38" s="15" t="n">
        <v>1</v>
      </c>
      <c r="H38" s="7" t="n">
        <v>9.99</v>
      </c>
      <c r="I38" s="7" t="n">
        <f aca="false">G38*H38</f>
        <v>9.99</v>
      </c>
      <c r="J38" s="4" t="s">
        <v>339</v>
      </c>
      <c r="K38" s="4" t="s">
        <v>444</v>
      </c>
    </row>
    <row r="39" customFormat="false" ht="23.85" hidden="false" customHeight="false" outlineLevel="0" collapsed="false">
      <c r="A39" s="4" t="s">
        <v>445</v>
      </c>
      <c r="B39" s="4" t="s">
        <v>446</v>
      </c>
      <c r="C39" s="4" t="s">
        <v>447</v>
      </c>
      <c r="D39" s="13" t="s">
        <v>448</v>
      </c>
      <c r="E39" s="4" t="n">
        <v>18</v>
      </c>
      <c r="F39" s="4" t="n">
        <v>30</v>
      </c>
      <c r="G39" s="14" t="n">
        <f aca="false">ROUNDUP(E39/F39,0)</f>
        <v>1</v>
      </c>
      <c r="H39" s="7" t="n">
        <v>12.35</v>
      </c>
      <c r="I39" s="7" t="n">
        <f aca="false">G39*H39</f>
        <v>12.35</v>
      </c>
      <c r="J39" s="4" t="s">
        <v>339</v>
      </c>
      <c r="K39" s="4" t="s">
        <v>449</v>
      </c>
    </row>
    <row r="40" customFormat="false" ht="15" hidden="false" customHeight="false" outlineLevel="0" collapsed="false">
      <c r="A40" s="4" t="s">
        <v>450</v>
      </c>
      <c r="B40" s="4" t="s">
        <v>451</v>
      </c>
      <c r="C40" s="4" t="s">
        <v>452</v>
      </c>
      <c r="D40" s="13" t="s">
        <v>453</v>
      </c>
      <c r="E40" s="4" t="n">
        <v>18</v>
      </c>
      <c r="F40" s="4" t="n">
        <v>25</v>
      </c>
      <c r="G40" s="14" t="n">
        <f aca="false">ROUNDUP(E40/F40,0)</f>
        <v>1</v>
      </c>
      <c r="H40" s="7" t="n">
        <v>9.69</v>
      </c>
      <c r="I40" s="7" t="n">
        <f aca="false">G40*H40</f>
        <v>9.69</v>
      </c>
      <c r="J40" s="4" t="s">
        <v>339</v>
      </c>
      <c r="K40" s="4" t="s">
        <v>454</v>
      </c>
    </row>
    <row r="41" customFormat="false" ht="15" hidden="false" customHeight="false" outlineLevel="0" collapsed="false">
      <c r="A41" s="4" t="s">
        <v>455</v>
      </c>
      <c r="B41" s="4" t="s">
        <v>456</v>
      </c>
      <c r="C41" s="4" t="s">
        <v>457</v>
      </c>
      <c r="D41" s="13" t="s">
        <v>458</v>
      </c>
      <c r="E41" s="4" t="n">
        <v>18</v>
      </c>
      <c r="F41" s="4" t="n">
        <v>100</v>
      </c>
      <c r="G41" s="14" t="n">
        <f aca="false">ROUNDUP(E41/F41,0)</f>
        <v>1</v>
      </c>
      <c r="H41" s="7" t="n">
        <v>7.29</v>
      </c>
      <c r="I41" s="7" t="n">
        <f aca="false">G41*H41</f>
        <v>7.29</v>
      </c>
      <c r="J41" s="4" t="s">
        <v>339</v>
      </c>
      <c r="K41" s="4" t="s">
        <v>459</v>
      </c>
    </row>
    <row r="42" customFormat="false" ht="23.85" hidden="false" customHeight="false" outlineLevel="0" collapsed="false">
      <c r="A42" s="4" t="s">
        <v>460</v>
      </c>
      <c r="B42" s="4" t="s">
        <v>461</v>
      </c>
      <c r="C42" s="4" t="s">
        <v>462</v>
      </c>
      <c r="D42" s="13" t="s">
        <v>463</v>
      </c>
      <c r="E42" s="4" t="n">
        <v>10</v>
      </c>
      <c r="F42" s="4" t="n">
        <v>20</v>
      </c>
      <c r="G42" s="14" t="n">
        <f aca="false">ROUNDUP(E42/F42,0)</f>
        <v>1</v>
      </c>
      <c r="H42" s="7" t="n">
        <v>9.19</v>
      </c>
      <c r="I42" s="7" t="n">
        <f aca="false">G42*H42</f>
        <v>9.19</v>
      </c>
      <c r="J42" s="4" t="s">
        <v>464</v>
      </c>
      <c r="K42" s="4" t="s">
        <v>465</v>
      </c>
    </row>
    <row r="43" customFormat="false" ht="23.85" hidden="false" customHeight="false" outlineLevel="0" collapsed="false">
      <c r="A43" s="4" t="s">
        <v>466</v>
      </c>
      <c r="B43" s="4" t="s">
        <v>467</v>
      </c>
      <c r="C43" s="4" t="s">
        <v>468</v>
      </c>
      <c r="D43" s="13" t="s">
        <v>469</v>
      </c>
      <c r="E43" s="4" t="n">
        <v>2</v>
      </c>
      <c r="F43" s="14"/>
      <c r="G43" s="15" t="n">
        <v>1</v>
      </c>
      <c r="H43" s="7" t="n">
        <v>20.59</v>
      </c>
      <c r="I43" s="7" t="n">
        <f aca="false">G43*H43</f>
        <v>20.59</v>
      </c>
      <c r="J43" s="4" t="s">
        <v>470</v>
      </c>
      <c r="K43" s="4"/>
    </row>
    <row r="44" customFormat="false" ht="15" hidden="false" customHeight="false" outlineLevel="0" collapsed="false">
      <c r="A44" s="4" t="s">
        <v>471</v>
      </c>
      <c r="B44" s="4" t="s">
        <v>472</v>
      </c>
      <c r="C44" s="4" t="s">
        <v>473</v>
      </c>
      <c r="D44" s="13" t="s">
        <v>474</v>
      </c>
      <c r="E44" s="4" t="n">
        <v>1</v>
      </c>
      <c r="F44" s="4" t="n">
        <v>10</v>
      </c>
      <c r="G44" s="14" t="n">
        <f aca="false">ROUNDUP(E44/F44,0)</f>
        <v>1</v>
      </c>
      <c r="H44" s="7" t="n">
        <v>9.99</v>
      </c>
      <c r="I44" s="7" t="n">
        <f aca="false">G44*H44</f>
        <v>9.99</v>
      </c>
      <c r="J44" s="4" t="s">
        <v>475</v>
      </c>
      <c r="K44" s="4" t="s">
        <v>476</v>
      </c>
    </row>
    <row r="45" customFormat="false" ht="15" hidden="false" customHeight="false" outlineLevel="0" collapsed="false">
      <c r="A45" s="4" t="s">
        <v>477</v>
      </c>
      <c r="B45" s="4" t="s">
        <v>478</v>
      </c>
      <c r="C45" s="4" t="s">
        <v>479</v>
      </c>
      <c r="D45" s="13" t="s">
        <v>480</v>
      </c>
      <c r="E45" s="4" t="n">
        <v>1</v>
      </c>
      <c r="F45" s="14"/>
      <c r="G45" s="15" t="n">
        <v>1</v>
      </c>
      <c r="H45" s="7" t="n">
        <v>14.1</v>
      </c>
      <c r="I45" s="7" t="n">
        <f aca="false">G45*H45</f>
        <v>14.1</v>
      </c>
      <c r="J45" s="4" t="s">
        <v>475</v>
      </c>
      <c r="K45" s="4" t="s">
        <v>481</v>
      </c>
    </row>
    <row r="46" customFormat="false" ht="15" hidden="false" customHeight="false" outlineLevel="0" collapsed="false">
      <c r="A46" s="4" t="s">
        <v>482</v>
      </c>
      <c r="B46" s="4" t="s">
        <v>483</v>
      </c>
      <c r="C46" s="4" t="s">
        <v>484</v>
      </c>
      <c r="D46" s="13" t="s">
        <v>485</v>
      </c>
      <c r="E46" s="4" t="n">
        <v>1</v>
      </c>
      <c r="F46" s="14"/>
      <c r="G46" s="15" t="n">
        <v>1</v>
      </c>
      <c r="H46" s="7" t="n">
        <v>27.74</v>
      </c>
      <c r="I46" s="7" t="n">
        <f aca="false">G46*H46</f>
        <v>27.74</v>
      </c>
      <c r="J46" s="4" t="s">
        <v>475</v>
      </c>
      <c r="K46" s="4" t="s">
        <v>486</v>
      </c>
    </row>
    <row r="47" customFormat="false" ht="15" hidden="false" customHeight="false" outlineLevel="0" collapsed="false">
      <c r="A47" s="4" t="s">
        <v>487</v>
      </c>
      <c r="B47" s="4" t="s">
        <v>488</v>
      </c>
      <c r="C47" s="4" t="s">
        <v>489</v>
      </c>
      <c r="D47" s="13" t="s">
        <v>490</v>
      </c>
      <c r="E47" s="4" t="n">
        <v>6</v>
      </c>
      <c r="F47" s="4" t="n">
        <v>25</v>
      </c>
      <c r="G47" s="14" t="n">
        <f aca="false">ROUNDUP(E47/F47,0)</f>
        <v>1</v>
      </c>
      <c r="H47" s="7" t="n">
        <v>5.52</v>
      </c>
      <c r="I47" s="7" t="n">
        <f aca="false">G47*H47</f>
        <v>5.52</v>
      </c>
      <c r="J47" s="4" t="s">
        <v>475</v>
      </c>
      <c r="K47" s="4" t="s">
        <v>491</v>
      </c>
    </row>
    <row r="48" customFormat="false" ht="15" hidden="false" customHeight="false" outlineLevel="0" collapsed="false">
      <c r="A48" s="4" t="s">
        <v>492</v>
      </c>
      <c r="B48" s="4" t="s">
        <v>493</v>
      </c>
      <c r="C48" s="4" t="s">
        <v>494</v>
      </c>
      <c r="D48" s="13" t="s">
        <v>495</v>
      </c>
      <c r="E48" s="4" t="n">
        <v>4</v>
      </c>
      <c r="F48" s="4" t="n">
        <v>200</v>
      </c>
      <c r="G48" s="14" t="n">
        <f aca="false">ROUNDUP(E48/F48,0)</f>
        <v>1</v>
      </c>
      <c r="H48" s="7" t="n">
        <v>7.99</v>
      </c>
      <c r="I48" s="7" t="n">
        <f aca="false">G48*H48</f>
        <v>7.99</v>
      </c>
      <c r="J48" s="4" t="s">
        <v>475</v>
      </c>
      <c r="K48" s="4" t="s">
        <v>496</v>
      </c>
    </row>
    <row r="49" customFormat="false" ht="15" hidden="false" customHeight="false" outlineLevel="0" collapsed="false">
      <c r="A49" s="4" t="s">
        <v>497</v>
      </c>
      <c r="B49" s="4" t="s">
        <v>498</v>
      </c>
      <c r="C49" s="4" t="s">
        <v>499</v>
      </c>
      <c r="D49" s="13" t="s">
        <v>500</v>
      </c>
      <c r="E49" s="4" t="n">
        <v>1</v>
      </c>
      <c r="F49" s="14"/>
      <c r="G49" s="15" t="n">
        <v>1</v>
      </c>
      <c r="H49" s="7" t="n">
        <v>11.99</v>
      </c>
      <c r="I49" s="7" t="n">
        <f aca="false">G49*H49</f>
        <v>11.99</v>
      </c>
      <c r="J49" s="4" t="s">
        <v>475</v>
      </c>
      <c r="K49" s="4" t="s">
        <v>501</v>
      </c>
    </row>
    <row r="50" customFormat="false" ht="15" hidden="false" customHeight="false" outlineLevel="0" collapsed="false">
      <c r="A50" s="4" t="s">
        <v>502</v>
      </c>
      <c r="B50" s="4" t="s">
        <v>503</v>
      </c>
      <c r="C50" s="4" t="s">
        <v>504</v>
      </c>
      <c r="D50" s="13" t="s">
        <v>505</v>
      </c>
      <c r="E50" s="4" t="n">
        <v>1</v>
      </c>
      <c r="F50" s="14"/>
      <c r="G50" s="15" t="n">
        <v>1</v>
      </c>
      <c r="H50" s="7" t="n">
        <v>10.99</v>
      </c>
      <c r="I50" s="7" t="n">
        <f aca="false">G50*H50</f>
        <v>10.99</v>
      </c>
      <c r="J50" s="4" t="s">
        <v>475</v>
      </c>
      <c r="K50" s="4" t="s">
        <v>506</v>
      </c>
    </row>
    <row r="51" customFormat="false" ht="15" hidden="false" customHeight="false" outlineLevel="0" collapsed="false">
      <c r="A51" s="4" t="s">
        <v>507</v>
      </c>
      <c r="B51" s="4" t="s">
        <v>508</v>
      </c>
      <c r="C51" s="4" t="s">
        <v>509</v>
      </c>
      <c r="D51" s="13" t="s">
        <v>510</v>
      </c>
      <c r="E51" s="4" t="n">
        <v>1</v>
      </c>
      <c r="F51" s="4" t="n">
        <v>120</v>
      </c>
      <c r="G51" s="14" t="n">
        <f aca="false">ROUNDUP(E51/F51,0)</f>
        <v>1</v>
      </c>
      <c r="H51" s="7" t="n">
        <v>9.99</v>
      </c>
      <c r="I51" s="7" t="n">
        <f aca="false">G51*H51</f>
        <v>9.99</v>
      </c>
      <c r="J51" s="4" t="s">
        <v>475</v>
      </c>
      <c r="K51" s="4" t="s">
        <v>511</v>
      </c>
    </row>
    <row r="52" customFormat="false" ht="15" hidden="false" customHeight="false" outlineLevel="0" collapsed="false">
      <c r="A52" s="4" t="s">
        <v>512</v>
      </c>
      <c r="B52" s="4" t="s">
        <v>513</v>
      </c>
      <c r="C52" s="4" t="s">
        <v>514</v>
      </c>
      <c r="D52" s="13" t="s">
        <v>515</v>
      </c>
      <c r="E52" s="4" t="n">
        <v>1</v>
      </c>
      <c r="F52" s="14"/>
      <c r="G52" s="15" t="n">
        <v>1</v>
      </c>
      <c r="H52" s="7" t="n">
        <v>15.98</v>
      </c>
      <c r="I52" s="7" t="n">
        <f aca="false">G52*H52</f>
        <v>15.98</v>
      </c>
      <c r="J52" s="4" t="s">
        <v>475</v>
      </c>
      <c r="K52" s="4" t="s">
        <v>516</v>
      </c>
    </row>
    <row r="53" customFormat="false" ht="15" hidden="false" customHeight="false" outlineLevel="0" collapsed="false">
      <c r="A53" s="10" t="s">
        <v>262</v>
      </c>
      <c r="B53" s="11"/>
      <c r="C53" s="11"/>
      <c r="D53" s="11"/>
      <c r="E53" s="11"/>
      <c r="F53" s="11"/>
      <c r="G53" s="11"/>
      <c r="H53" s="11"/>
      <c r="I53" s="16" t="n">
        <f aca="false">SUM(I5:I52)</f>
        <v>882.1</v>
      </c>
      <c r="J53" s="11"/>
      <c r="K53" s="11"/>
    </row>
    <row r="54" customFormat="false" ht="15" hidden="false" customHeight="false" outlineLevel="0" collapsed="false">
      <c r="A54" s="2" t="s">
        <v>517</v>
      </c>
      <c r="I54" s="17" t="n">
        <f aca="false">I53-SUMIF(A5:A52,"M09",I5:I52)</f>
        <v>866.12</v>
      </c>
    </row>
  </sheetData>
  <hyperlinks>
    <hyperlink ref="D5" r:id="rId1" display="https://www.amazon.es/dp/B0CHMBCCJB"/>
    <hyperlink ref="D6" r:id="rId2" display="https://www.amazon.es/dp/B0C9V3LXTF"/>
    <hyperlink ref="D7" r:id="rId3" display="https://www.amazon.es/dp/B0BRY6MVXL"/>
    <hyperlink ref="D8" r:id="rId4" display="https://www.amazon.es/dp/B0BNJPL4MW"/>
    <hyperlink ref="D9" r:id="rId5" display="https://www.amazon.es/dp/B0CBW6THN1"/>
    <hyperlink ref="D10" r:id="rId6" display="https://www.amazon.es/dp/B06XWRCWZ9"/>
    <hyperlink ref="D11" r:id="rId7" display="https://www.amazon.es/dp/B08Z6FCR5Z"/>
    <hyperlink ref="D12" r:id="rId8" display="https://www.amazon.es/dp/B09XB58ZXJ"/>
    <hyperlink ref="D13" r:id="rId9" display="https://www.amazon.es/dp/B07V86XPL4"/>
    <hyperlink ref="D14" r:id="rId10" display="https://www.amazon.es/dp/B07Q495GQG"/>
    <hyperlink ref="D15" r:id="rId11" display="https://www.amazon.es/dp/B0H8NVXVG5"/>
    <hyperlink ref="D16" r:id="rId12" display="https://www.amazon.es/dp/B0FJRPC7MN"/>
    <hyperlink ref="D17" r:id="rId13" display="https://www.amazon.es/dp/B0D9FJY1SG"/>
    <hyperlink ref="D18" r:id="rId14" display="https://www.amazon.es/dp/B0GT5XPRWK"/>
    <hyperlink ref="D19" r:id="rId15" display="https://www.amazon.es/dp/B0H38RDVZR"/>
    <hyperlink ref="D20" r:id="rId16" display="https://www.amazon.es/dp/B09XHW8C8W"/>
    <hyperlink ref="D21" r:id="rId17" display="https://www.amazon.es/dp/B0C8FS5FV2"/>
    <hyperlink ref="D22" r:id="rId18" display="https://www.amazon.es/dp/B0DP2NT8LY"/>
    <hyperlink ref="D23" r:id="rId19" display="https://www.amazon.es/dp/B0CBWZNP6Z"/>
    <hyperlink ref="D24" r:id="rId20" display="https://www.amazon.es/dp/B0BMGBBPTT"/>
    <hyperlink ref="D25" r:id="rId21" display="https://www.amazon.es/dp/B07P14QHB7"/>
    <hyperlink ref="D26" r:id="rId22" display="https://www.amazon.es/dp/B00AOAJAUC"/>
    <hyperlink ref="D27" r:id="rId23" display="https://www.amazon.es/dp/B07QK5M755"/>
    <hyperlink ref="D28" r:id="rId24" display="https://www.amazon.es/dp/B0CHNRVG2Z"/>
    <hyperlink ref="D29" r:id="rId25" display="https://www.amazon.es/dp/B0CRRBYJ2Y"/>
    <hyperlink ref="D30" r:id="rId26" display="https://www.amazon.es/dp/B0D8KDZLPN"/>
    <hyperlink ref="D31" r:id="rId27" display="https://www.amazon.es/dp/B0GSCLY4D7"/>
    <hyperlink ref="D32" r:id="rId28" display="https://www.amazon.es/dp/B0GSCLY4D7"/>
    <hyperlink ref="D33" r:id="rId29" display="https://www.amazon.es/dp/B0FVLLN788"/>
    <hyperlink ref="D34" r:id="rId30" display="https://www.amazon.es/dp/B0G4G7WQRM"/>
    <hyperlink ref="D35" r:id="rId31" display="https://www.amazon.es/dp/B0B5DLWVZ2"/>
    <hyperlink ref="D36" r:id="rId32" display="https://www.amazon.es/dp/B08CGMX1B6"/>
    <hyperlink ref="D38" r:id="rId33" display="https://www.amazon.es/dp/B0FPQMRG8J"/>
    <hyperlink ref="D39" r:id="rId34" display="https://www.amazon.es/dp/B0B61JZ25M"/>
    <hyperlink ref="D40" r:id="rId35" display="https://www.amazon.es/dp/B07Q5TVVMJ"/>
    <hyperlink ref="D41" r:id="rId36" display="https://www.amazon.es/dp/B0C43ZLBNM"/>
    <hyperlink ref="D42" r:id="rId37" display="https://www.amazon.es/dp/B0GGSDJMYV"/>
    <hyperlink ref="D43" r:id="rId38" display="https://www.amazon.es/dp/B01H9Z6HB4"/>
    <hyperlink ref="D44" r:id="rId39" display="https://www.amazon.es/dp/B0956XYTN6"/>
    <hyperlink ref="D45" r:id="rId40" display="https://www.amazon.es/dp/B0D12QPF4Y"/>
    <hyperlink ref="D46" r:id="rId41" display="https://www.amazon.es/dp/B07BDHJGKG"/>
    <hyperlink ref="D47" r:id="rId42" display="https://www.amazon.es/dp/B0CVW7Y2P4"/>
    <hyperlink ref="D48" r:id="rId43" display="https://www.amazon.es/dp/B0B77J5FZS"/>
    <hyperlink ref="D49" r:id="rId44" display="https://www.amazon.es/dp/B0BGRY2JGX"/>
    <hyperlink ref="D50" r:id="rId45" display="https://www.amazon.es/dp/B0B4H54KPS"/>
    <hyperlink ref="D51" r:id="rId46" display="https://www.amazon.es/dp/B01NGTXASZ"/>
    <hyperlink ref="D52" r:id="rId47" display="https://www.amazon.es/dp/B0FQP6KDL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2026-10-25T21:19:21Z</dcterms:created>
  <dc:creator>openpyxl</dc:creator>
  <dc:description/>
  <dc:language>en-US</dc:language>
  <cp:lastModifiedBy/>
  <dcterms:modified xsi:type="dcterms:W3CDTF">2026-10-25T21:19:21Z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