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A Fabricar" sheetId="2" state="visible" r:id="rId2"/>
    <sheet xmlns:r="http://schemas.openxmlformats.org/officeDocument/2006/relationships" name="A Compra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1F5FBF"/>
      <sz val="10"/>
      <u val="single"/>
    </font>
    <font>
      <name val="Arial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F3B46"/>
      </patternFill>
    </fill>
    <fill>
      <patternFill patternType="solid">
        <fgColor rgb="00E6EBEF"/>
      </patternFill>
    </fill>
    <fill>
      <patternFill patternType="solid">
        <fgColor rgb="00FFF2B3"/>
      </patternFill>
    </fill>
  </fills>
  <borders count="2">
    <border>
      <left/>
      <right/>
      <top/>
      <bottom/>
      <diagonal/>
    </border>
    <border>
      <left style="thin">
        <color rgb="00C6CFD6"/>
      </left>
      <right style="thin">
        <color rgb="00C6CFD6"/>
      </right>
      <top style="thin">
        <color rgb="00C6CFD6"/>
      </top>
      <bottom style="thin">
        <color rgb="00C6CFD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1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4" fontId="2" fillId="0" borderId="1" applyAlignment="1" pivotButton="0" quotePrefix="0" xfId="0">
      <alignment vertical="top" wrapText="1"/>
    </xf>
    <xf numFmtId="0" fontId="4" fillId="0" borderId="0" pivotButton="0" quotePrefix="0" xfId="0"/>
    <xf numFmtId="3" fontId="2" fillId="0" borderId="1" applyAlignment="1" pivotButton="0" quotePrefix="0" xfId="0">
      <alignment vertical="top" wrapText="1"/>
    </xf>
    <xf numFmtId="0" fontId="4" fillId="3" borderId="0" pivotButton="0" quotePrefix="0" xfId="0"/>
    <xf numFmtId="0" fontId="0" fillId="3" borderId="0" pivotButton="0" quotePrefix="0" xfId="0"/>
    <xf numFmtId="3" fontId="4" fillId="3" borderId="0" pivotButton="0" quotePrefix="0" xfId="0"/>
    <xf numFmtId="0" fontId="5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4" fontId="4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amazon.es/dp/B0CHMBCCJB" TargetMode="External" Id="rId1"/><Relationship Type="http://schemas.openxmlformats.org/officeDocument/2006/relationships/hyperlink" Target="https://www.amazon.es/dp/B0C9V3LXTF" TargetMode="External" Id="rId2"/><Relationship Type="http://schemas.openxmlformats.org/officeDocument/2006/relationships/hyperlink" Target="https://www.amazon.es/dp/B0BRY6MVXL" TargetMode="External" Id="rId3"/><Relationship Type="http://schemas.openxmlformats.org/officeDocument/2006/relationships/hyperlink" Target="https://www.amazon.es/dp/B0BNJPL4MW" TargetMode="External" Id="rId4"/><Relationship Type="http://schemas.openxmlformats.org/officeDocument/2006/relationships/hyperlink" Target="https://www.amazon.es/dp/B0CBW6THN1" TargetMode="External" Id="rId5"/><Relationship Type="http://schemas.openxmlformats.org/officeDocument/2006/relationships/hyperlink" Target="https://www.amazon.es/dp/B06XWRCWZ9" TargetMode="External" Id="rId6"/><Relationship Type="http://schemas.openxmlformats.org/officeDocument/2006/relationships/hyperlink" Target="https://www.amazon.es/dp/B07CQ54BY4" TargetMode="External" Id="rId7"/><Relationship Type="http://schemas.openxmlformats.org/officeDocument/2006/relationships/hyperlink" Target="https://www.amazon.es/dp/B09XB58ZXJ" TargetMode="External" Id="rId8"/><Relationship Type="http://schemas.openxmlformats.org/officeDocument/2006/relationships/hyperlink" Target="https://www.amazon.es/dp/B07V86XPL4" TargetMode="External" Id="rId9"/><Relationship Type="http://schemas.openxmlformats.org/officeDocument/2006/relationships/hyperlink" Target="https://www.amazon.es/dp/B07Q495GQG" TargetMode="External" Id="rId10"/><Relationship Type="http://schemas.openxmlformats.org/officeDocument/2006/relationships/hyperlink" Target="https://www.amazon.es/dp/B0H8NVXVG5" TargetMode="External" Id="rId11"/><Relationship Type="http://schemas.openxmlformats.org/officeDocument/2006/relationships/hyperlink" Target="https://www.amazon.es/dp/B0FJRPC7MN" TargetMode="External" Id="rId12"/><Relationship Type="http://schemas.openxmlformats.org/officeDocument/2006/relationships/hyperlink" Target="https://www.amazon.es/dp/B0D9FJY1SG" TargetMode="External" Id="rId13"/><Relationship Type="http://schemas.openxmlformats.org/officeDocument/2006/relationships/hyperlink" Target="https://www.amazon.es/dp/B0GT5XPRWK" TargetMode="External" Id="rId14"/><Relationship Type="http://schemas.openxmlformats.org/officeDocument/2006/relationships/hyperlink" Target="https://www.amazon.es/dp/B0H38RDVZR" TargetMode="External" Id="rId15"/><Relationship Type="http://schemas.openxmlformats.org/officeDocument/2006/relationships/hyperlink" Target="https://www.amazon.es/dp/B09XHW8C8W" TargetMode="External" Id="rId16"/><Relationship Type="http://schemas.openxmlformats.org/officeDocument/2006/relationships/hyperlink" Target="https://www.amazon.es/dp/B0C8FS5FV2" TargetMode="External" Id="rId17"/><Relationship Type="http://schemas.openxmlformats.org/officeDocument/2006/relationships/hyperlink" Target="https://www.amazon.es/dp/B0DP2NT8LY" TargetMode="External" Id="rId18"/><Relationship Type="http://schemas.openxmlformats.org/officeDocument/2006/relationships/hyperlink" Target="https://www.amazon.es/dp/B0CBWZNP6Z" TargetMode="External" Id="rId19"/><Relationship Type="http://schemas.openxmlformats.org/officeDocument/2006/relationships/hyperlink" Target="https://www.amazon.es/dp/B0BMGBBPTT" TargetMode="External" Id="rId20"/><Relationship Type="http://schemas.openxmlformats.org/officeDocument/2006/relationships/hyperlink" Target="https://www.amazon.es/dp/B07P14QHB7" TargetMode="External" Id="rId21"/><Relationship Type="http://schemas.openxmlformats.org/officeDocument/2006/relationships/hyperlink" Target="https://www.amazon.es/dp/B00AOAJAUC" TargetMode="External" Id="rId22"/><Relationship Type="http://schemas.openxmlformats.org/officeDocument/2006/relationships/hyperlink" Target="https://www.amazon.es/dp/B07QK5M755" TargetMode="External" Id="rId23"/><Relationship Type="http://schemas.openxmlformats.org/officeDocument/2006/relationships/hyperlink" Target="https://www.amazon.es/dp/B0CHNRVG2Z" TargetMode="External" Id="rId24"/><Relationship Type="http://schemas.openxmlformats.org/officeDocument/2006/relationships/hyperlink" Target="https://www.amazon.es/dp/B0CRRBYJ2Y" TargetMode="External" Id="rId25"/><Relationship Type="http://schemas.openxmlformats.org/officeDocument/2006/relationships/hyperlink" Target="https://www.amazon.es/dp/B0D8KDZLPN" TargetMode="External" Id="rId26"/><Relationship Type="http://schemas.openxmlformats.org/officeDocument/2006/relationships/hyperlink" Target="https://www.amazon.es/dp/B0GSCLY4D7" TargetMode="External" Id="rId27"/><Relationship Type="http://schemas.openxmlformats.org/officeDocument/2006/relationships/hyperlink" Target="https://www.amazon.es/dp/B0GSCLY4D7" TargetMode="External" Id="rId28"/><Relationship Type="http://schemas.openxmlformats.org/officeDocument/2006/relationships/hyperlink" Target="https://www.amazon.es/dp/B0FVLLN788" TargetMode="External" Id="rId29"/><Relationship Type="http://schemas.openxmlformats.org/officeDocument/2006/relationships/hyperlink" Target="https://www.amazon.es/dp/B0G4G7WQRM" TargetMode="External" Id="rId30"/><Relationship Type="http://schemas.openxmlformats.org/officeDocument/2006/relationships/hyperlink" Target="https://www.amazon.es/dp/B0B5DLWVZ2" TargetMode="External" Id="rId31"/><Relationship Type="http://schemas.openxmlformats.org/officeDocument/2006/relationships/hyperlink" Target="https://www.amazon.es/dp/B08CGMX1B6" TargetMode="External" Id="rId32"/><Relationship Type="http://schemas.openxmlformats.org/officeDocument/2006/relationships/hyperlink" Target="https://www.amazon.es/dp/B0FPQMRG8J" TargetMode="External" Id="rId33"/><Relationship Type="http://schemas.openxmlformats.org/officeDocument/2006/relationships/hyperlink" Target="https://www.amazon.es/dp/B0B61JZ25M" TargetMode="External" Id="rId34"/><Relationship Type="http://schemas.openxmlformats.org/officeDocument/2006/relationships/hyperlink" Target="https://www.amazon.es/dp/B07Q5TVVMJ" TargetMode="External" Id="rId35"/><Relationship Type="http://schemas.openxmlformats.org/officeDocument/2006/relationships/hyperlink" Target="https://www.amazon.es/dp/B0C43ZLBNM" TargetMode="External" Id="rId36"/><Relationship Type="http://schemas.openxmlformats.org/officeDocument/2006/relationships/hyperlink" Target="https://www.amazon.es/dp/B0GGSDJMYV" TargetMode="External" Id="rId37"/><Relationship Type="http://schemas.openxmlformats.org/officeDocument/2006/relationships/hyperlink" Target="https://www.amazon.es/dp/B01H9Z6HB4" TargetMode="External" Id="rId38"/><Relationship Type="http://schemas.openxmlformats.org/officeDocument/2006/relationships/hyperlink" Target="https://www.amazon.es/dp/B0956XYTN6" TargetMode="External" Id="rId39"/><Relationship Type="http://schemas.openxmlformats.org/officeDocument/2006/relationships/hyperlink" Target="https://www.amazon.es/dp/B0D12QPF4Y" TargetMode="External" Id="rId40"/><Relationship Type="http://schemas.openxmlformats.org/officeDocument/2006/relationships/hyperlink" Target="https://www.amazon.es/dp/B07BDHJGKG" TargetMode="External" Id="rId41"/><Relationship Type="http://schemas.openxmlformats.org/officeDocument/2006/relationships/hyperlink" Target="https://www.amazon.es/dp/B0CVW7Y2P4" TargetMode="External" Id="rId42"/><Relationship Type="http://schemas.openxmlformats.org/officeDocument/2006/relationships/hyperlink" Target="https://www.amazon.es/dp/B0B77J5FZS" TargetMode="External" Id="rId43"/><Relationship Type="http://schemas.openxmlformats.org/officeDocument/2006/relationships/hyperlink" Target="https://www.amazon.es/dp/B0BGRY2JGX" TargetMode="External" Id="rId44"/><Relationship Type="http://schemas.openxmlformats.org/officeDocument/2006/relationships/hyperlink" Target="https://www.amazon.es/dp/B0B4H54KPS" TargetMode="External" Id="rId45"/><Relationship Type="http://schemas.openxmlformats.org/officeDocument/2006/relationships/hyperlink" Target="https://www.amazon.es/dp/B01NGTXASZ" TargetMode="External" Id="rId46"/><Relationship Type="http://schemas.openxmlformats.org/officeDocument/2006/relationships/hyperlink" Target="https://www.amazon.es/dp/B0FQP6KDL4" TargetMode="External" Id="rId4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0" customWidth="1" min="5" max="5"/>
    <col width="34" customWidth="1" min="6" max="6"/>
    <col width="11" customWidth="1" min="7" max="7"/>
    <col width="11" customWidth="1" min="8" max="8"/>
    <col width="14" customWidth="1" min="9" max="9"/>
    <col width="14" customWidth="1" min="10" max="10"/>
    <col width="26" customWidth="1" min="11" max="11"/>
    <col width="70" customWidth="1" min="12" max="12"/>
  </cols>
  <sheetData>
    <row r="1">
      <c r="A1" s="1" t="inlineStr">
        <is>
          <t>Alcoholímetro · cajón de componentes · diseño A</t>
        </is>
      </c>
    </row>
    <row r="2">
      <c r="A2" s="2" t="inlineStr">
        <is>
          <t>Medidas exteriores en mm. Totales enlazados a las hojas de cada diseño (fórmulas).</t>
        </is>
      </c>
    </row>
    <row r="4" ht="30" customHeight="1">
      <c r="A4" s="3" t="inlineStr">
        <is>
          <t>Diseño</t>
        </is>
      </c>
      <c r="B4" s="3" t="inlineStr">
        <is>
          <t>Nombre</t>
        </is>
      </c>
      <c r="C4" s="3" t="inlineStr">
        <is>
          <t>Ancho (mm)</t>
        </is>
      </c>
      <c r="D4" s="3" t="inlineStr">
        <is>
          <t>Fondo (mm)</t>
        </is>
      </c>
      <c r="E4" s="3" t="inlineStr">
        <is>
          <t>Alto (mm)</t>
        </is>
      </c>
      <c r="F4" s="3" t="inlineStr">
        <is>
          <t>Tapa</t>
        </is>
      </c>
      <c r="G4" s="3" t="inlineStr">
        <is>
          <t>Piezas a fabricar</t>
        </is>
      </c>
      <c r="H4" s="3" t="inlineStr">
        <is>
          <t>Chapa y PC (kg)</t>
        </is>
      </c>
      <c r="I4" s="3" t="inlineStr">
        <is>
          <t>Compras primer pedido (€)</t>
        </is>
      </c>
      <c r="J4" s="3" t="inlineStr">
        <is>
          <t>Compras sin herramienta (€)</t>
        </is>
      </c>
      <c r="K4" s="3" t="inlineStr">
        <is>
          <t>Choques y barridos</t>
        </is>
      </c>
      <c r="L4" s="3" t="inlineStr">
        <is>
          <t>Idea</t>
        </is>
      </c>
    </row>
    <row r="5">
      <c r="A5" s="4" t="inlineStr">
        <is>
          <t>A</t>
        </is>
      </c>
      <c r="B5" s="4" t="inlineStr">
        <is>
          <t>Compacta</t>
        </is>
      </c>
      <c r="C5" s="5" t="n">
        <v>220</v>
      </c>
      <c r="D5" s="5" t="n">
        <v>103</v>
      </c>
      <c r="E5" s="5" t="n">
        <v>442.5</v>
      </c>
      <c r="F5" s="4" t="inlineStr">
        <is>
          <t>Abatible hacia la izquierda, 1 cerradura</t>
        </is>
      </c>
      <c r="G5" s="4">
        <f>COUNTA('A Fabricar'!A5:A50)</f>
        <v/>
      </c>
      <c r="H5" s="6">
        <f>'A Fabricar'!I51/1000</f>
        <v/>
      </c>
      <c r="I5" s="7">
        <f>'A Comprar'!I53</f>
        <v/>
      </c>
      <c r="J5" s="7">
        <f>'A Comprar'!I54</f>
        <v/>
      </c>
      <c r="K5" s="4" t="inlineStr">
        <is>
          <t>0 choques · tapa, tapa interior, cajón y pajitas sin roces</t>
        </is>
      </c>
      <c r="L5" s="4" t="inlineStr">
        <is>
          <t>Cámara y Solo arriba, pantalla debajo. Policarbonato delante y detrás del panel. Tapa abatible con cerradura y faldón derecho; tapa interior plana que entra deslizando por una ranura del lateral derecho; cajón de pajitas con dos candados. Sin botón.</t>
        </is>
      </c>
    </row>
    <row r="10">
      <c r="A10" s="8" t="inlineStr">
        <is>
          <t>Notas</t>
        </is>
      </c>
    </row>
    <row r="11">
      <c r="A11" s="2" t="inlineStr">
        <is>
          <t>• Hay dos policarbonatos de 5 mm: uno delante del panel frontal y otro detrás, entre el panel y el cajón de componentes. Todas las piezas de chapa son planas (acero DC01 1,5 mm, corte láser) y se unen por soldadura por puntos o remaches: no hay plegados.</t>
        </is>
      </c>
    </row>
    <row r="12">
      <c r="A12" s="2" t="inlineStr">
        <is>
          <t>• Los números de pieza son los mismos en el visor 3D, en los STEP (STEP_piezas/&lt;nº&gt;.step) y en los DXF (DXF_corte/&lt;nº&gt;.dxf).</t>
        </is>
      </c>
    </row>
    <row r="13">
      <c r="A13" s="2" t="inlineStr">
        <is>
          <t>• Las compras salen del modelo 3D (cuántas veces aparece cada pieza) más lo que no se dibuja (tubo, fusibles, cables, microSD...).</t>
        </is>
      </c>
    </row>
    <row r="14">
      <c r="A14" s="2" t="inlineStr">
        <is>
          <t>• Paquetes a pedir: si el anuncio no dice cuántas unidades trae, se pone 1 en amarillo para revisarlo.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20" customWidth="1" min="3" max="3"/>
    <col width="22" customWidth="1" min="4" max="4"/>
    <col width="18" customWidth="1" min="5" max="5"/>
    <col width="11" customWidth="1" min="6" max="6"/>
    <col width="11" customWidth="1" min="7" max="7"/>
    <col width="11" customWidth="1" min="8" max="8"/>
    <col width="10" customWidth="1" min="9" max="9"/>
    <col width="24" customWidth="1" min="10" max="10"/>
    <col width="26" customWidth="1" min="11" max="11"/>
    <col width="60" customWidth="1" min="12" max="12"/>
  </cols>
  <sheetData>
    <row r="1">
      <c r="A1" s="1" t="inlineStr">
        <is>
          <t>Diseño A · Compacta — piezas a fabricar</t>
        </is>
      </c>
    </row>
    <row r="2">
      <c r="A2" s="2" t="inlineStr">
        <is>
          <t>Cada fila es una forma geométrica: una chapa plana (láser) o la placa de policarbonato. Archivos dentro de la carpeta CAD del diseño.</t>
        </is>
      </c>
    </row>
    <row r="4" ht="30" customHeight="1">
      <c r="A4" s="3" t="inlineStr">
        <is>
          <t>Nº pieza</t>
        </is>
      </c>
      <c r="B4" s="3" t="inlineStr">
        <is>
          <t>Pieza</t>
        </is>
      </c>
      <c r="C4" s="3" t="inlineStr">
        <is>
          <t>Grupo</t>
        </is>
      </c>
      <c r="D4" s="3" t="inlineStr">
        <is>
          <t>Material</t>
        </is>
      </c>
      <c r="E4" s="3" t="inlineStr">
        <is>
          <t>Proceso</t>
        </is>
      </c>
      <c r="F4" s="3" t="inlineStr">
        <is>
          <t>Largo (mm)</t>
        </is>
      </c>
      <c r="G4" s="3" t="inlineStr">
        <is>
          <t>Ancho (mm)</t>
        </is>
      </c>
      <c r="H4" s="3" t="inlineStr">
        <is>
          <t>Espesor (mm)</t>
        </is>
      </c>
      <c r="I4" s="3" t="inlineStr">
        <is>
          <t>Masa (g)</t>
        </is>
      </c>
      <c r="J4" s="3" t="inlineStr">
        <is>
          <t>Archivo DXF</t>
        </is>
      </c>
      <c r="K4" s="3" t="inlineStr">
        <is>
          <t>Archivo STEP</t>
        </is>
      </c>
      <c r="L4" s="3" t="inlineStr">
        <is>
          <t>Notas</t>
        </is>
      </c>
    </row>
    <row r="5">
      <c r="A5" s="4" t="inlineStr">
        <is>
          <t>A-C01</t>
        </is>
      </c>
      <c r="B5" s="4" t="inlineStr">
        <is>
          <t>Panel frontal</t>
        </is>
      </c>
      <c r="C5" s="4" t="inlineStr">
        <is>
          <t>Carcasa</t>
        </is>
      </c>
      <c r="D5" s="4" t="inlineStr">
        <is>
          <t>Acero DC01 1,5 mm</t>
        </is>
      </c>
      <c r="E5" s="4" t="inlineStr">
        <is>
          <t>Láser</t>
        </is>
      </c>
      <c r="F5" s="6" t="n">
        <v>409</v>
      </c>
      <c r="G5" s="6" t="n">
        <v>220</v>
      </c>
      <c r="H5" s="6" t="n">
        <v>1.5</v>
      </c>
      <c r="I5" s="9" t="n">
        <v>785</v>
      </c>
      <c r="J5" s="4" t="inlineStr">
        <is>
          <t>DXF_corte/A-C01.dxf</t>
        </is>
      </c>
      <c r="K5" s="4" t="inlineStr">
        <is>
          <t>STEP_piezas/A-C01.step</t>
        </is>
      </c>
      <c r="L5" s="4" t="inlineStr">
        <is>
          <t>Ventanas de pantalla, Solo, cámara y boquilla; 10 × Ø4,5 de los tornillos de los policarbonatos; 3 ranuras de pajitas</t>
        </is>
      </c>
    </row>
    <row r="6">
      <c r="A6" s="4" t="inlineStr">
        <is>
          <t>A-V01</t>
        </is>
      </c>
      <c r="B6" s="4" t="inlineStr">
        <is>
          <t>Policarbonato exterior 5 mm (delante del panel)</t>
        </is>
      </c>
      <c r="C6" s="4" t="inlineStr">
        <is>
          <t>Policarbonato</t>
        </is>
      </c>
      <c r="D6" s="4" t="inlineStr">
        <is>
          <t>Policarbonato compacto 5 mm</t>
        </is>
      </c>
      <c r="E6" s="4" t="inlineStr">
        <is>
          <t>Corte CNC + taladros</t>
        </is>
      </c>
      <c r="F6" s="6" t="n">
        <v>225.5</v>
      </c>
      <c r="G6" s="6" t="n">
        <v>206</v>
      </c>
      <c r="H6" s="6" t="n">
        <v>5</v>
      </c>
      <c r="I6" s="9" t="n">
        <v>277</v>
      </c>
      <c r="J6" s="4" t="inlineStr">
        <is>
          <t>DXF_corte/A-V01.dxf</t>
        </is>
      </c>
      <c r="K6" s="4" t="inlineStr">
        <is>
          <t>STEP_piezas/A-V01.step</t>
        </is>
      </c>
      <c r="L6" s="4" t="inlineStr">
        <is>
          <t>10 × Ø4,5 avellanados a Ø8,5 por delante (tornillos de cabeza plana a ras); boquilla Ø7 avellanada</t>
        </is>
      </c>
    </row>
    <row r="7">
      <c r="A7" s="4" t="inlineStr">
        <is>
          <t>A-V02</t>
        </is>
      </c>
      <c r="B7" s="4" t="inlineStr">
        <is>
          <t>Policarbonato interior 5 mm (detrás del panel)</t>
        </is>
      </c>
      <c r="C7" s="4" t="inlineStr">
        <is>
          <t>Policarbonato</t>
        </is>
      </c>
      <c r="D7" s="4" t="inlineStr">
        <is>
          <t>Policarbonato compacto 5 mm</t>
        </is>
      </c>
      <c r="E7" s="4" t="inlineStr">
        <is>
          <t>Corte CNC + taladros</t>
        </is>
      </c>
      <c r="F7" s="6" t="n">
        <v>225.5</v>
      </c>
      <c r="G7" s="6" t="n">
        <v>206</v>
      </c>
      <c r="H7" s="6" t="n">
        <v>5</v>
      </c>
      <c r="I7" s="9" t="n">
        <v>277</v>
      </c>
      <c r="J7" s="4" t="inlineStr">
        <is>
          <t>DXF_corte/A-V02.dxf</t>
        </is>
      </c>
      <c r="K7" s="4" t="inlineStr">
        <is>
          <t>STEP_piezas/A-V02.step</t>
        </is>
      </c>
      <c r="L7" s="4" t="inlineStr">
        <is>
          <t>Entre el panel y el cajón de componentes; Ø5 de los tornillos; boquilla Ø7</t>
        </is>
      </c>
    </row>
    <row r="8">
      <c r="A8" s="4" t="inlineStr">
        <is>
          <t>A-C02</t>
        </is>
      </c>
      <c r="B8" s="4" t="inlineStr">
        <is>
          <t>Trasera</t>
        </is>
      </c>
      <c r="C8" s="4" t="inlineStr">
        <is>
          <t>Carcasa</t>
        </is>
      </c>
      <c r="D8" s="4" t="inlineStr">
        <is>
          <t>Acero DC01 1,5 mm</t>
        </is>
      </c>
      <c r="E8" s="4" t="inlineStr">
        <is>
          <t>Láser</t>
        </is>
      </c>
      <c r="F8" s="6" t="n">
        <v>441</v>
      </c>
      <c r="G8" s="6" t="n">
        <v>220</v>
      </c>
      <c r="H8" s="6" t="n">
        <v>1.5</v>
      </c>
      <c r="I8" s="9" t="n">
        <v>1135</v>
      </c>
      <c r="J8" s="4" t="inlineStr">
        <is>
          <t>DXF_corte/A-C02.dxf</t>
        </is>
      </c>
      <c r="K8" s="4" t="inlineStr">
        <is>
          <t>STEP_piezas/A-C02.step</t>
        </is>
      </c>
      <c r="L8" s="4" t="inlineStr">
        <is>
          <t>18 agujeros Ø6,5 para la pared (3 columnas × 6 filas). Tirafondo 6 × 60 con taco de 8 mm y arandela ancha M6, apretados desde dentro</t>
        </is>
      </c>
    </row>
    <row r="9">
      <c r="A9" s="4" t="inlineStr">
        <is>
          <t>A-C03</t>
        </is>
      </c>
      <c r="B9" s="4" t="inlineStr">
        <is>
          <t>Lateral izquierdo</t>
        </is>
      </c>
      <c r="C9" s="4" t="inlineStr">
        <is>
          <t>Carcasa</t>
        </is>
      </c>
      <c r="D9" s="4" t="inlineStr">
        <is>
          <t>Acero DC01 1,5 mm</t>
        </is>
      </c>
      <c r="E9" s="4" t="inlineStr">
        <is>
          <t>Láser</t>
        </is>
      </c>
      <c r="F9" s="6" t="n">
        <v>439.5</v>
      </c>
      <c r="G9" s="6" t="n">
        <v>100</v>
      </c>
      <c r="H9" s="6" t="n">
        <v>1.5</v>
      </c>
      <c r="I9" s="9" t="n">
        <v>362</v>
      </c>
      <c r="J9" s="4" t="inlineStr">
        <is>
          <t>DXF_corte/A-C03.dxf</t>
        </is>
      </c>
      <c r="K9" s="4" t="inlineStr">
        <is>
          <t>STEP_piezas/A-C03.step</t>
        </is>
      </c>
      <c r="L9" s="4" t="inlineStr">
        <is>
          <t>Hueco del cajón de pajitas, rejilla de escape del soplido y rejillas de ventilación</t>
        </is>
      </c>
    </row>
    <row r="10">
      <c r="A10" s="4" t="inlineStr">
        <is>
          <t>A-C04</t>
        </is>
      </c>
      <c r="B10" s="4" t="inlineStr">
        <is>
          <t>Lateral derecho</t>
        </is>
      </c>
      <c r="C10" s="4" t="inlineStr">
        <is>
          <t>Carcasa</t>
        </is>
      </c>
      <c r="D10" s="4" t="inlineStr">
        <is>
          <t>Acero DC01 1,5 mm</t>
        </is>
      </c>
      <c r="E10" s="4" t="inlineStr">
        <is>
          <t>Láser</t>
        </is>
      </c>
      <c r="F10" s="6" t="n">
        <v>439.5</v>
      </c>
      <c r="G10" s="6" t="n">
        <v>100</v>
      </c>
      <c r="H10" s="6" t="n">
        <v>1.5</v>
      </c>
      <c r="I10" s="9" t="n">
        <v>489</v>
      </c>
      <c r="J10" s="4" t="inlineStr">
        <is>
          <t>DXF_corte/A-C04.dxf</t>
        </is>
      </c>
      <c r="K10" s="4" t="inlineStr">
        <is>
          <t>STEP_piezas/A-C04.step</t>
        </is>
      </c>
      <c r="L10" s="4" t="inlineStr">
        <is>
          <t>Ventana del enchufe de la toma C14 (38 × 46), rejillas, ranura 2.1 × 90 de la tapa interior con muesca R8 encima; ranura 4×14 de la leva; agujero Ø6,5 de la antena</t>
        </is>
      </c>
    </row>
    <row r="11">
      <c r="A11" s="4" t="inlineStr">
        <is>
          <t>A-C05</t>
        </is>
      </c>
      <c r="B11" s="4" t="inlineStr">
        <is>
          <t>Suelo</t>
        </is>
      </c>
      <c r="C11" s="4" t="inlineStr">
        <is>
          <t>Carcasa</t>
        </is>
      </c>
      <c r="D11" s="4" t="inlineStr">
        <is>
          <t>Acero DC01 1,5 mm</t>
        </is>
      </c>
      <c r="E11" s="4" t="inlineStr">
        <is>
          <t>Láser</t>
        </is>
      </c>
      <c r="F11" s="6" t="n">
        <v>220</v>
      </c>
      <c r="G11" s="6" t="n">
        <v>100</v>
      </c>
      <c r="H11" s="6" t="n">
        <v>1.5</v>
      </c>
      <c r="I11" s="9" t="n">
        <v>259</v>
      </c>
      <c r="J11" s="4" t="inlineStr">
        <is>
          <t>DXF_corte/A-C05.dxf</t>
        </is>
      </c>
      <c r="K11" s="4" t="inlineStr">
        <is>
          <t>STEP_piezas/A-C05.step</t>
        </is>
      </c>
      <c r="L11" s="4" t="inlineStr"/>
    </row>
    <row r="12">
      <c r="A12" s="4" t="inlineStr">
        <is>
          <t>A-C06</t>
        </is>
      </c>
      <c r="B12" s="4" t="inlineStr">
        <is>
          <t>Bandeja (suelo de la zona de componentes)</t>
        </is>
      </c>
      <c r="C12" s="4" t="inlineStr">
        <is>
          <t>Carcasa</t>
        </is>
      </c>
      <c r="D12" s="4" t="inlineStr">
        <is>
          <t>Acero DC01 1,5 mm</t>
        </is>
      </c>
      <c r="E12" s="4" t="inlineStr">
        <is>
          <t>Láser</t>
        </is>
      </c>
      <c r="F12" s="6" t="n">
        <v>217</v>
      </c>
      <c r="G12" s="6" t="n">
        <v>100</v>
      </c>
      <c r="H12" s="6" t="n">
        <v>1.5</v>
      </c>
      <c r="I12" s="9" t="n">
        <v>255</v>
      </c>
      <c r="J12" s="4" t="inlineStr">
        <is>
          <t>DXF_corte/A-C06.dxf</t>
        </is>
      </c>
      <c r="K12" s="4" t="inlineStr">
        <is>
          <t>STEP_piezas/A-C06.step</t>
        </is>
      </c>
      <c r="L12" s="4" t="inlineStr">
        <is>
          <t>4 agujeros Ø4,5 para los silentblocks</t>
        </is>
      </c>
    </row>
    <row r="13">
      <c r="A13" s="4" t="inlineStr">
        <is>
          <t>A-C07</t>
        </is>
      </c>
      <c r="B13" s="4" t="inlineStr">
        <is>
          <t>Guía trasera izquierda</t>
        </is>
      </c>
      <c r="C13" s="4" t="inlineStr">
        <is>
          <t>Carcasa</t>
        </is>
      </c>
      <c r="D13" s="4" t="inlineStr">
        <is>
          <t>Acero DC01 1,5 mm</t>
        </is>
      </c>
      <c r="E13" s="4" t="inlineStr">
        <is>
          <t>Láser</t>
        </is>
      </c>
      <c r="F13" s="6" t="n">
        <v>218</v>
      </c>
      <c r="G13" s="6" t="n">
        <v>10.5</v>
      </c>
      <c r="H13" s="6" t="n">
        <v>1.5</v>
      </c>
      <c r="I13" s="9" t="n">
        <v>27</v>
      </c>
      <c r="J13" s="4" t="inlineStr">
        <is>
          <t>DXF_corte/A-C07.dxf</t>
        </is>
      </c>
      <c r="K13" s="4" t="inlineStr">
        <is>
          <t>STEP_piezas/A-C07.step</t>
        </is>
      </c>
      <c r="L13" s="4" t="inlineStr">
        <is>
          <t>Pletina vertical soldada a la trasera; un tope de goma en su canto delantero</t>
        </is>
      </c>
    </row>
    <row r="14">
      <c r="A14" s="4" t="inlineStr">
        <is>
          <t>A-C08</t>
        </is>
      </c>
      <c r="B14" s="4" t="inlineStr">
        <is>
          <t>Guía trasera derecha</t>
        </is>
      </c>
      <c r="C14" s="4" t="inlineStr">
        <is>
          <t>Carcasa</t>
        </is>
      </c>
      <c r="D14" s="4" t="inlineStr">
        <is>
          <t>Acero DC01 1,5 mm</t>
        </is>
      </c>
      <c r="E14" s="4" t="inlineStr">
        <is>
          <t>Láser</t>
        </is>
      </c>
      <c r="F14" s="6" t="n">
        <v>218</v>
      </c>
      <c r="G14" s="6" t="n">
        <v>10.5</v>
      </c>
      <c r="H14" s="6" t="n">
        <v>1.5</v>
      </c>
      <c r="I14" s="9" t="n">
        <v>27</v>
      </c>
      <c r="J14" s="4" t="inlineStr">
        <is>
          <t>DXF_corte/A-C08.dxf</t>
        </is>
      </c>
      <c r="K14" s="4" t="inlineStr">
        <is>
          <t>STEP_piezas/A-C08.step</t>
        </is>
      </c>
      <c r="L14" s="4" t="inlineStr">
        <is>
          <t>Pletina vertical soldada a la trasera; un tope de goma en su canto delantero</t>
        </is>
      </c>
    </row>
    <row r="15">
      <c r="A15" s="4" t="inlineStr">
        <is>
          <t>A-T01</t>
        </is>
      </c>
      <c r="B15" s="4" t="inlineStr">
        <is>
          <t>Tapa interior plana (antipolvo, deslizante)</t>
        </is>
      </c>
      <c r="C15" s="4" t="inlineStr">
        <is>
          <t>Tapa</t>
        </is>
      </c>
      <c r="D15" s="4" t="inlineStr">
        <is>
          <t>Acero DC01 1,5 mm</t>
        </is>
      </c>
      <c r="E15" s="4" t="inlineStr">
        <is>
          <t>Láser</t>
        </is>
      </c>
      <c r="F15" s="6" t="n">
        <v>218.3</v>
      </c>
      <c r="G15" s="6" t="n">
        <v>89.59999999999999</v>
      </c>
      <c r="H15" s="6" t="n">
        <v>1.5</v>
      </c>
      <c r="I15" s="9" t="n">
        <v>230</v>
      </c>
      <c r="J15" s="4" t="inlineStr">
        <is>
          <t>DXF_corte/A-T01.dxf</t>
        </is>
      </c>
      <c r="K15" s="4" t="inlineStr">
        <is>
          <t>STEP_piezas/A-T01.step</t>
        </is>
      </c>
      <c r="L15" s="4" t="inlineStr">
        <is>
          <t>Chapa lisa sin agujeros. Entra deslizando por la ranura del lateral derecho, apoya en los salientes y hace tope en el lateral izquierdo; queda a ras por fuera. Con la tapa cerrada el faldón derecho tapa la ranura. Para sacarla: abrir la tapa, empujar con el dedo desde la muesca y tirar hacia la derecha (hacen falta ~23 cm libres a ese lado)</t>
        </is>
      </c>
    </row>
    <row r="16">
      <c r="A16" s="4" t="inlineStr">
        <is>
          <t>A-C09</t>
        </is>
      </c>
      <c r="B16" s="4" t="inlineStr">
        <is>
          <t>Saliente delantero (tapa interior)</t>
        </is>
      </c>
      <c r="C16" s="4" t="inlineStr">
        <is>
          <t>Carcasa</t>
        </is>
      </c>
      <c r="D16" s="4" t="inlineStr">
        <is>
          <t>Acero DC01 1,5 mm</t>
        </is>
      </c>
      <c r="E16" s="4" t="inlineStr">
        <is>
          <t>Láser</t>
        </is>
      </c>
      <c r="F16" s="6" t="n">
        <v>217</v>
      </c>
      <c r="G16" s="6" t="n">
        <v>5</v>
      </c>
      <c r="H16" s="6" t="n">
        <v>1.5</v>
      </c>
      <c r="I16" s="9" t="n">
        <v>13</v>
      </c>
      <c r="J16" s="4" t="inlineStr">
        <is>
          <t>DXF_corte/A-C09.dxf</t>
        </is>
      </c>
      <c r="K16" s="4" t="inlineStr">
        <is>
          <t>STEP_piezas/A-C09.step</t>
        </is>
      </c>
      <c r="L16" s="4" t="inlineStr">
        <is>
          <t>Soldado a la cara interior del panel frontal; 5 mm de vuelo. Hace de guía de la tapa interior</t>
        </is>
      </c>
    </row>
    <row r="17">
      <c r="A17" s="4" t="inlineStr">
        <is>
          <t>A-C10</t>
        </is>
      </c>
      <c r="B17" s="4" t="inlineStr">
        <is>
          <t>Saliente trasero (tapa interior)</t>
        </is>
      </c>
      <c r="C17" s="4" t="inlineStr">
        <is>
          <t>Carcasa</t>
        </is>
      </c>
      <c r="D17" s="4" t="inlineStr">
        <is>
          <t>Acero DC01 1,5 mm</t>
        </is>
      </c>
      <c r="E17" s="4" t="inlineStr">
        <is>
          <t>Láser</t>
        </is>
      </c>
      <c r="F17" s="6" t="n">
        <v>217</v>
      </c>
      <c r="G17" s="6" t="n">
        <v>12.5</v>
      </c>
      <c r="H17" s="6" t="n">
        <v>1.5</v>
      </c>
      <c r="I17" s="9" t="n">
        <v>32</v>
      </c>
      <c r="J17" s="4" t="inlineStr">
        <is>
          <t>DXF_corte/A-C10.dxf</t>
        </is>
      </c>
      <c r="K17" s="4" t="inlineStr">
        <is>
          <t>STEP_piezas/A-C10.step</t>
        </is>
      </c>
      <c r="L17" s="4" t="inlineStr">
        <is>
          <t>Soldado a la trasera; 12.5 mm de vuelo. Hace de guía de la tapa interior</t>
        </is>
      </c>
    </row>
    <row r="18">
      <c r="A18" s="4" t="inlineStr">
        <is>
          <t>A-C11</t>
        </is>
      </c>
      <c r="B18" s="4" t="inlineStr">
        <is>
          <t>Saliente izquierdo 1 (tapa interior)</t>
        </is>
      </c>
      <c r="C18" s="4" t="inlineStr">
        <is>
          <t>Carcasa</t>
        </is>
      </c>
      <c r="D18" s="4" t="inlineStr">
        <is>
          <t>Acero DC01 1,5 mm</t>
        </is>
      </c>
      <c r="E18" s="4" t="inlineStr">
        <is>
          <t>Láser</t>
        </is>
      </c>
      <c r="F18" s="6" t="n">
        <v>35</v>
      </c>
      <c r="G18" s="6" t="n">
        <v>2.5</v>
      </c>
      <c r="H18" s="6" t="n">
        <v>1.5</v>
      </c>
      <c r="I18" s="9" t="n">
        <v>1</v>
      </c>
      <c r="J18" s="4" t="inlineStr">
        <is>
          <t>DXF_corte/A-C11.dxf</t>
        </is>
      </c>
      <c r="K18" s="4" t="inlineStr">
        <is>
          <t>STEP_piezas/A-C11.step</t>
        </is>
      </c>
      <c r="L18" s="4" t="inlineStr">
        <is>
          <t>Soldado al lateral izquierdo; 2,5 mm de vuelo (deja pasar el cajón y sus topes)</t>
        </is>
      </c>
    </row>
    <row r="19">
      <c r="A19" s="4" t="inlineStr">
        <is>
          <t>A-C12</t>
        </is>
      </c>
      <c r="B19" s="4" t="inlineStr">
        <is>
          <t>Saliente izquierdo 2 (tapa interior)</t>
        </is>
      </c>
      <c r="C19" s="4" t="inlineStr">
        <is>
          <t>Carcasa</t>
        </is>
      </c>
      <c r="D19" s="4" t="inlineStr">
        <is>
          <t>Acero DC01 1,5 mm</t>
        </is>
      </c>
      <c r="E19" s="4" t="inlineStr">
        <is>
          <t>Láser</t>
        </is>
      </c>
      <c r="F19" s="6" t="n">
        <v>6</v>
      </c>
      <c r="G19" s="6" t="n">
        <v>2.5</v>
      </c>
      <c r="H19" s="6" t="n">
        <v>1.5</v>
      </c>
      <c r="I19" s="9" t="n">
        <v>0</v>
      </c>
      <c r="J19" s="4" t="inlineStr">
        <is>
          <t>DXF_corte/A-C12.dxf</t>
        </is>
      </c>
      <c r="K19" s="4" t="inlineStr">
        <is>
          <t>STEP_piezas/A-C12.step</t>
        </is>
      </c>
      <c r="L19" s="4" t="inlineStr">
        <is>
          <t>Soldado al lateral izquierdo; 2,5 mm de vuelo (deja pasar el cajón y sus topes)</t>
        </is>
      </c>
    </row>
    <row r="20">
      <c r="A20" s="4" t="inlineStr">
        <is>
          <t>A-T02</t>
        </is>
      </c>
      <c r="B20" s="4" t="inlineStr">
        <is>
          <t>Tapa superior</t>
        </is>
      </c>
      <c r="C20" s="4" t="inlineStr">
        <is>
          <t>Tapa</t>
        </is>
      </c>
      <c r="D20" s="4" t="inlineStr">
        <is>
          <t>Acero DC01 1,5 mm</t>
        </is>
      </c>
      <c r="E20" s="4" t="inlineStr">
        <is>
          <t>Láser</t>
        </is>
      </c>
      <c r="F20" s="6" t="n">
        <v>222</v>
      </c>
      <c r="G20" s="6" t="n">
        <v>103</v>
      </c>
      <c r="H20" s="6" t="n">
        <v>1.5</v>
      </c>
      <c r="I20" s="9" t="n">
        <v>269</v>
      </c>
      <c r="J20" s="4" t="inlineStr">
        <is>
          <t>DXF_corte/A-T02.dxf</t>
        </is>
      </c>
      <c r="K20" s="4" t="inlineStr">
        <is>
          <t>STEP_piezas/A-T02.step</t>
        </is>
      </c>
      <c r="L20" s="4" t="inlineStr">
        <is>
          <t>Abre hacia la izquierda con bisagra de piano remachada; sobresale 2 mm por la derecha para el faldón derecho</t>
        </is>
      </c>
    </row>
    <row r="21">
      <c r="A21" s="4" t="inlineStr">
        <is>
          <t>A-T03</t>
        </is>
      </c>
      <c r="B21" s="4" t="inlineStr">
        <is>
          <t>Faldón delantero de la tapa</t>
        </is>
      </c>
      <c r="C21" s="4" t="inlineStr">
        <is>
          <t>Tapa</t>
        </is>
      </c>
      <c r="D21" s="4" t="inlineStr">
        <is>
          <t>Acero DC01 1,5 mm</t>
        </is>
      </c>
      <c r="E21" s="4" t="inlineStr">
        <is>
          <t>Láser</t>
        </is>
      </c>
      <c r="F21" s="6" t="n">
        <v>220.5</v>
      </c>
      <c r="G21" s="6" t="n">
        <v>31.5</v>
      </c>
      <c r="H21" s="6" t="n">
        <v>1.5</v>
      </c>
      <c r="I21" s="9" t="n">
        <v>79</v>
      </c>
      <c r="J21" s="4" t="inlineStr">
        <is>
          <t>DXF_corte/A-T03.dxf</t>
        </is>
      </c>
      <c r="K21" s="4" t="inlineStr">
        <is>
          <t>STEP_piezas/A-T03.step</t>
        </is>
      </c>
      <c r="L21" s="4" t="inlineStr">
        <is>
          <t>Taladro Ø18 de la cerradura; soldado a la tapa y al faldón derecho</t>
        </is>
      </c>
    </row>
    <row r="22">
      <c r="A22" s="4" t="inlineStr">
        <is>
          <t>A-T04</t>
        </is>
      </c>
      <c r="B22" s="4" t="inlineStr">
        <is>
          <t>Faldón derecho de la tapa</t>
        </is>
      </c>
      <c r="C22" s="4" t="inlineStr">
        <is>
          <t>Tapa</t>
        </is>
      </c>
      <c r="D22" s="4" t="inlineStr">
        <is>
          <t>Acero DC01 1,5 mm</t>
        </is>
      </c>
      <c r="E22" s="4" t="inlineStr">
        <is>
          <t>Láser</t>
        </is>
      </c>
      <c r="F22" s="6" t="n">
        <v>103</v>
      </c>
      <c r="G22" s="6" t="n">
        <v>37.5</v>
      </c>
      <c r="H22" s="6" t="n">
        <v>1.5</v>
      </c>
      <c r="I22" s="9" t="n">
        <v>45</v>
      </c>
      <c r="J22" s="4" t="inlineStr">
        <is>
          <t>DXF_corte/A-T04.dxf</t>
        </is>
      </c>
      <c r="K22" s="4" t="inlineStr">
        <is>
          <t>STEP_piezas/A-T04.step</t>
        </is>
      </c>
      <c r="L22" s="4" t="inlineStr">
        <is>
          <t>Soldado bajo el canto derecho de la tapa. Cerrada, tapa por fuera la ranura de la tapa interior y la de la leva: la tapa interior no se puede sacar sin abrir con llave</t>
        </is>
      </c>
    </row>
    <row r="23">
      <c r="A23" s="4" t="inlineStr">
        <is>
          <t>A-T05</t>
        </is>
      </c>
      <c r="B23" s="4" t="inlineStr">
        <is>
          <t>Pestaña de tope de apertura</t>
        </is>
      </c>
      <c r="C23" s="4" t="inlineStr">
        <is>
          <t>Tapa</t>
        </is>
      </c>
      <c r="D23" s="4" t="inlineStr">
        <is>
          <t>Acero DC01 3 mm</t>
        </is>
      </c>
      <c r="E23" s="4" t="inlineStr">
        <is>
          <t>Láser</t>
        </is>
      </c>
      <c r="F23" s="6" t="n">
        <v>19.8</v>
      </c>
      <c r="G23" s="6" t="n">
        <v>6</v>
      </c>
      <c r="H23" s="6" t="n">
        <v>3</v>
      </c>
      <c r="I23" s="9" t="n">
        <v>2</v>
      </c>
      <c r="J23" s="4" t="inlineStr">
        <is>
          <t>DXF_corte/A-T05.dxf</t>
        </is>
      </c>
      <c r="K23" s="4" t="inlineStr">
        <is>
          <t>STEP_piezas/A-T05.step</t>
        </is>
      </c>
      <c r="L23" s="4" t="inlineStr">
        <is>
          <t>Soldada sobre la tapa, delante de la bisagra; al abrir ~105° apoya en el lateral y la tapa se queda abierta</t>
        </is>
      </c>
    </row>
    <row r="24">
      <c r="A24" s="4" t="inlineStr">
        <is>
          <t>A-P01</t>
        </is>
      </c>
      <c r="B24" s="4" t="inlineStr">
        <is>
          <t>Fondo</t>
        </is>
      </c>
      <c r="C24" s="4" t="inlineStr">
        <is>
          <t>Cajón de pajitas</t>
        </is>
      </c>
      <c r="D24" s="4" t="inlineStr">
        <is>
          <t>Acero DC01 1,5 mm</t>
        </is>
      </c>
      <c r="E24" s="4" t="inlineStr">
        <is>
          <t>Láser</t>
        </is>
      </c>
      <c r="F24" s="6" t="n">
        <v>216</v>
      </c>
      <c r="G24" s="6" t="n">
        <v>75</v>
      </c>
      <c r="H24" s="6" t="n">
        <v>1.5</v>
      </c>
      <c r="I24" s="9" t="n">
        <v>191</v>
      </c>
      <c r="J24" s="4" t="inlineStr">
        <is>
          <t>DXF_corte/A-P01.dxf</t>
        </is>
      </c>
      <c r="K24" s="4" t="inlineStr">
        <is>
          <t>STEP_piezas/A-P01.step</t>
        </is>
      </c>
      <c r="L24" s="4" t="inlineStr"/>
    </row>
    <row r="25">
      <c r="A25" s="4" t="inlineStr">
        <is>
          <t>A-P02</t>
        </is>
      </c>
      <c r="B25" s="4" t="inlineStr">
        <is>
          <t>Delantera (3 ventanas)</t>
        </is>
      </c>
      <c r="C25" s="4" t="inlineStr">
        <is>
          <t>Cajón de pajitas</t>
        </is>
      </c>
      <c r="D25" s="4" t="inlineStr">
        <is>
          <t>Acero DC01 1,5 mm</t>
        </is>
      </c>
      <c r="E25" s="4" t="inlineStr">
        <is>
          <t>Láser</t>
        </is>
      </c>
      <c r="F25" s="6" t="n">
        <v>216</v>
      </c>
      <c r="G25" s="6" t="n">
        <v>145.2</v>
      </c>
      <c r="H25" s="6" t="n">
        <v>1.5</v>
      </c>
      <c r="I25" s="9" t="n">
        <v>354</v>
      </c>
      <c r="J25" s="4" t="inlineStr">
        <is>
          <t>DXF_corte/A-P02.dxf</t>
        </is>
      </c>
      <c r="K25" s="4" t="inlineStr">
        <is>
          <t>STEP_piezas/A-P02.step</t>
        </is>
      </c>
      <c r="L25" s="4" t="inlineStr">
        <is>
          <t>Ventanas alineadas con las ranuras del panel</t>
        </is>
      </c>
    </row>
    <row r="26">
      <c r="A26" s="4" t="inlineStr">
        <is>
          <t>A-P03</t>
        </is>
      </c>
      <c r="B26" s="4" t="inlineStr">
        <is>
          <t>Trasera</t>
        </is>
      </c>
      <c r="C26" s="4" t="inlineStr">
        <is>
          <t>Cajón de pajitas</t>
        </is>
      </c>
      <c r="D26" s="4" t="inlineStr">
        <is>
          <t>Acero DC01 1,5 mm</t>
        </is>
      </c>
      <c r="E26" s="4" t="inlineStr">
        <is>
          <t>Láser</t>
        </is>
      </c>
      <c r="F26" s="6" t="n">
        <v>216</v>
      </c>
      <c r="G26" s="6" t="n">
        <v>145.2</v>
      </c>
      <c r="H26" s="6" t="n">
        <v>1.5</v>
      </c>
      <c r="I26" s="9" t="n">
        <v>369</v>
      </c>
      <c r="J26" s="4" t="inlineStr">
        <is>
          <t>DXF_corte/A-P03.dxf</t>
        </is>
      </c>
      <c r="K26" s="4" t="inlineStr">
        <is>
          <t>STEP_piezas/A-P03.step</t>
        </is>
      </c>
      <c r="L26" s="4" t="inlineStr"/>
    </row>
    <row r="27">
      <c r="A27" s="4" t="inlineStr">
        <is>
          <t>A-P04</t>
        </is>
      </c>
      <c r="B27" s="4" t="inlineStr">
        <is>
          <t>Extremo derecho</t>
        </is>
      </c>
      <c r="C27" s="4" t="inlineStr">
        <is>
          <t>Cajón de pajitas</t>
        </is>
      </c>
      <c r="D27" s="4" t="inlineStr">
        <is>
          <t>Acero DC01 1,5 mm</t>
        </is>
      </c>
      <c r="E27" s="4" t="inlineStr">
        <is>
          <t>Láser</t>
        </is>
      </c>
      <c r="F27" s="6" t="n">
        <v>145.2</v>
      </c>
      <c r="G27" s="6" t="n">
        <v>72</v>
      </c>
      <c r="H27" s="6" t="n">
        <v>1.5</v>
      </c>
      <c r="I27" s="9" t="n">
        <v>123</v>
      </c>
      <c r="J27" s="4" t="inlineStr">
        <is>
          <t>DXF_corte/A-P04.dxf</t>
        </is>
      </c>
      <c r="K27" s="4" t="inlineStr">
        <is>
          <t>STEP_piezas/A-P04.step</t>
        </is>
      </c>
      <c r="L27" s="4" t="inlineStr"/>
    </row>
    <row r="28">
      <c r="A28" s="4" t="inlineStr">
        <is>
          <t>A-P05</t>
        </is>
      </c>
      <c r="B28" s="4" t="inlineStr">
        <is>
          <t>Tapa (cierra el hueco del lateral izquierdo)</t>
        </is>
      </c>
      <c r="C28" s="4" t="inlineStr">
        <is>
          <t>Cajón de pajitas</t>
        </is>
      </c>
      <c r="D28" s="4" t="inlineStr">
        <is>
          <t>Acero DC01 1,5 mm</t>
        </is>
      </c>
      <c r="E28" s="4" t="inlineStr">
        <is>
          <t>Láser</t>
        </is>
      </c>
      <c r="F28" s="6" t="n">
        <v>147.7</v>
      </c>
      <c r="G28" s="6" t="n">
        <v>84</v>
      </c>
      <c r="H28" s="6" t="n">
        <v>1.5</v>
      </c>
      <c r="I28" s="9" t="n">
        <v>146</v>
      </c>
      <c r="J28" s="4" t="inlineStr">
        <is>
          <t>DXF_corte/A-P05.dxf</t>
        </is>
      </c>
      <c r="K28" s="4" t="inlineStr">
        <is>
          <t>STEP_piezas/A-P05.step</t>
        </is>
      </c>
      <c r="L28" s="4" t="inlineStr">
        <is>
          <t>Sin tirador: se tira de las anillas de los candados</t>
        </is>
      </c>
    </row>
    <row r="29">
      <c r="A29" s="4" t="inlineStr">
        <is>
          <t>A-P06</t>
        </is>
      </c>
      <c r="B29" s="4" t="inlineStr">
        <is>
          <t>Separador 1</t>
        </is>
      </c>
      <c r="C29" s="4" t="inlineStr">
        <is>
          <t>Cajón de pajitas</t>
        </is>
      </c>
      <c r="D29" s="4" t="inlineStr">
        <is>
          <t>Acero DC01 1,5 mm</t>
        </is>
      </c>
      <c r="E29" s="4" t="inlineStr">
        <is>
          <t>Láser</t>
        </is>
      </c>
      <c r="F29" s="6" t="n">
        <v>145.2</v>
      </c>
      <c r="G29" s="6" t="n">
        <v>72</v>
      </c>
      <c r="H29" s="6" t="n">
        <v>1.5</v>
      </c>
      <c r="I29" s="9" t="n">
        <v>123</v>
      </c>
      <c r="J29" s="4" t="inlineStr">
        <is>
          <t>DXF_corte/A-P06.dxf</t>
        </is>
      </c>
      <c r="K29" s="4" t="inlineStr">
        <is>
          <t>STEP_piezas/A-P06.step</t>
        </is>
      </c>
      <c r="L29" s="4" t="inlineStr"/>
    </row>
    <row r="30">
      <c r="A30" s="4" t="inlineStr">
        <is>
          <t>A-P07</t>
        </is>
      </c>
      <c r="B30" s="4" t="inlineStr">
        <is>
          <t>Separador 2</t>
        </is>
      </c>
      <c r="C30" s="4" t="inlineStr">
        <is>
          <t>Cajón de pajitas</t>
        </is>
      </c>
      <c r="D30" s="4" t="inlineStr">
        <is>
          <t>Acero DC01 1,5 mm</t>
        </is>
      </c>
      <c r="E30" s="4" t="inlineStr">
        <is>
          <t>Láser</t>
        </is>
      </c>
      <c r="F30" s="6" t="n">
        <v>145.2</v>
      </c>
      <c r="G30" s="6" t="n">
        <v>72</v>
      </c>
      <c r="H30" s="6" t="n">
        <v>1.5</v>
      </c>
      <c r="I30" s="9" t="n">
        <v>123</v>
      </c>
      <c r="J30" s="4" t="inlineStr">
        <is>
          <t>DXF_corte/A-P07.dxf</t>
        </is>
      </c>
      <c r="K30" s="4" t="inlineStr">
        <is>
          <t>STEP_piezas/A-P07.step</t>
        </is>
      </c>
      <c r="L30" s="4" t="inlineStr"/>
    </row>
    <row r="31">
      <c r="A31" s="4" t="inlineStr">
        <is>
          <t>A-C13</t>
        </is>
      </c>
      <c r="B31" s="4" t="inlineStr">
        <is>
          <t>Anilla para candado 1 (lateral)</t>
        </is>
      </c>
      <c r="C31" s="4" t="inlineStr">
        <is>
          <t>Carcasa</t>
        </is>
      </c>
      <c r="D31" s="4" t="inlineStr">
        <is>
          <t>Acero DC01 3 mm</t>
        </is>
      </c>
      <c r="E31" s="4" t="inlineStr">
        <is>
          <t>Láser</t>
        </is>
      </c>
      <c r="F31" s="6" t="n">
        <v>18</v>
      </c>
      <c r="G31" s="6" t="n">
        <v>12</v>
      </c>
      <c r="H31" s="6" t="n">
        <v>3</v>
      </c>
      <c r="I31" s="9" t="n">
        <v>4</v>
      </c>
      <c r="J31" s="4" t="inlineStr">
        <is>
          <t>DXF_corte/A-C13.dxf</t>
        </is>
      </c>
      <c r="K31" s="4" t="inlineStr">
        <is>
          <t>STEP_piezas/A-C13.step</t>
        </is>
      </c>
      <c r="L31" s="4" t="inlineStr">
        <is>
          <t>Soldada a la franja fija del lateral izquierdo, delante del hueco del cajón. Agujero Ø9</t>
        </is>
      </c>
    </row>
    <row r="32">
      <c r="A32" s="4" t="inlineStr">
        <is>
          <t>A-P08</t>
        </is>
      </c>
      <c r="B32" s="4" t="inlineStr">
        <is>
          <t>Anilla para candado 1 (tapa del cajón)</t>
        </is>
      </c>
      <c r="C32" s="4" t="inlineStr">
        <is>
          <t>Cajón de pajitas</t>
        </is>
      </c>
      <c r="D32" s="4" t="inlineStr">
        <is>
          <t>Acero DC01 3 mm</t>
        </is>
      </c>
      <c r="E32" s="4" t="inlineStr">
        <is>
          <t>Láser</t>
        </is>
      </c>
      <c r="F32" s="6" t="n">
        <v>27</v>
      </c>
      <c r="G32" s="6" t="n">
        <v>18</v>
      </c>
      <c r="H32" s="6" t="n">
        <v>3</v>
      </c>
      <c r="I32" s="9" t="n">
        <v>10</v>
      </c>
      <c r="J32" s="4" t="inlineStr">
        <is>
          <t>DXF_corte/A-P08.dxf</t>
        </is>
      </c>
      <c r="K32" s="4" t="inlineStr">
        <is>
          <t>STEP_piezas/A-P08.step</t>
        </is>
      </c>
      <c r="L32" s="4" t="inlineStr">
        <is>
          <t>Soldada a la tapa del cajón; vuela por delante y queda encima de la anilla fija. También sirve de tirador</t>
        </is>
      </c>
    </row>
    <row r="33">
      <c r="A33" s="4" t="inlineStr">
        <is>
          <t>A-C14</t>
        </is>
      </c>
      <c r="B33" s="4" t="inlineStr">
        <is>
          <t>Anilla para candado 2 (lateral)</t>
        </is>
      </c>
      <c r="C33" s="4" t="inlineStr">
        <is>
          <t>Carcasa</t>
        </is>
      </c>
      <c r="D33" s="4" t="inlineStr">
        <is>
          <t>Acero DC01 3 mm</t>
        </is>
      </c>
      <c r="E33" s="4" t="inlineStr">
        <is>
          <t>Láser</t>
        </is>
      </c>
      <c r="F33" s="6" t="n">
        <v>18</v>
      </c>
      <c r="G33" s="6" t="n">
        <v>12</v>
      </c>
      <c r="H33" s="6" t="n">
        <v>3</v>
      </c>
      <c r="I33" s="9" t="n">
        <v>4</v>
      </c>
      <c r="J33" s="4" t="inlineStr">
        <is>
          <t>DXF_corte/A-C14.dxf</t>
        </is>
      </c>
      <c r="K33" s="4" t="inlineStr">
        <is>
          <t>STEP_piezas/A-C14.step</t>
        </is>
      </c>
      <c r="L33" s="4" t="inlineStr">
        <is>
          <t>Soldada a la franja fija del lateral izquierdo, delante del hueco del cajón. Agujero Ø9</t>
        </is>
      </c>
    </row>
    <row r="34">
      <c r="A34" s="4" t="inlineStr">
        <is>
          <t>A-P09</t>
        </is>
      </c>
      <c r="B34" s="4" t="inlineStr">
        <is>
          <t>Anilla para candado 2 (tapa del cajón)</t>
        </is>
      </c>
      <c r="C34" s="4" t="inlineStr">
        <is>
          <t>Cajón de pajitas</t>
        </is>
      </c>
      <c r="D34" s="4" t="inlineStr">
        <is>
          <t>Acero DC01 3 mm</t>
        </is>
      </c>
      <c r="E34" s="4" t="inlineStr">
        <is>
          <t>Láser</t>
        </is>
      </c>
      <c r="F34" s="6" t="n">
        <v>27</v>
      </c>
      <c r="G34" s="6" t="n">
        <v>18</v>
      </c>
      <c r="H34" s="6" t="n">
        <v>3</v>
      </c>
      <c r="I34" s="9" t="n">
        <v>10</v>
      </c>
      <c r="J34" s="4" t="inlineStr">
        <is>
          <t>DXF_corte/A-P09.dxf</t>
        </is>
      </c>
      <c r="K34" s="4" t="inlineStr">
        <is>
          <t>STEP_piezas/A-P09.step</t>
        </is>
      </c>
      <c r="L34" s="4" t="inlineStr">
        <is>
          <t>Soldada a la tapa del cajón; vuela por delante y queda encima de la anilla fija. También sirve de tirador</t>
        </is>
      </c>
    </row>
    <row r="35">
      <c r="A35" s="4" t="inlineStr">
        <is>
          <t>A-K01</t>
        </is>
      </c>
      <c r="B35" s="4" t="inlineStr">
        <is>
          <t>Base del cajón</t>
        </is>
      </c>
      <c r="C35" s="4" t="inlineStr">
        <is>
          <t>Cajón de componentes</t>
        </is>
      </c>
      <c r="D35" s="4" t="inlineStr">
        <is>
          <t>Acero DC01 1,5 mm</t>
        </is>
      </c>
      <c r="E35" s="4" t="inlineStr">
        <is>
          <t>Láser</t>
        </is>
      </c>
      <c r="F35" s="6" t="n">
        <v>206.5</v>
      </c>
      <c r="G35" s="6" t="n">
        <v>74</v>
      </c>
      <c r="H35" s="6" t="n">
        <v>1.5</v>
      </c>
      <c r="I35" s="9" t="n">
        <v>166</v>
      </c>
      <c r="J35" s="4" t="inlineStr">
        <is>
          <t>DXF_corte/A-K01.dxf</t>
        </is>
      </c>
      <c r="K35" s="4" t="inlineStr">
        <is>
          <t>STEP_piezas/A-K01.step</t>
        </is>
      </c>
      <c r="L35" s="4" t="inlineStr">
        <is>
          <t>4 agujeros Ø6 que encajan en los silentblocks; rejilla bajo la fuente</t>
        </is>
      </c>
    </row>
    <row r="36">
      <c r="A36" s="4" t="inlineStr">
        <is>
          <t>A-K02</t>
        </is>
      </c>
      <c r="B36" s="4" t="inlineStr">
        <is>
          <t>Frente del cajón</t>
        </is>
      </c>
      <c r="C36" s="4" t="inlineStr">
        <is>
          <t>Cajón de componentes</t>
        </is>
      </c>
      <c r="D36" s="4" t="inlineStr">
        <is>
          <t>Acero DC01 1,5 mm</t>
        </is>
      </c>
      <c r="E36" s="4" t="inlineStr">
        <is>
          <t>Láser</t>
        </is>
      </c>
      <c r="F36" s="6" t="n">
        <v>226.5</v>
      </c>
      <c r="G36" s="6" t="n">
        <v>206.5</v>
      </c>
      <c r="H36" s="6" t="n">
        <v>1.5</v>
      </c>
      <c r="I36" s="9" t="n">
        <v>301</v>
      </c>
      <c r="J36" s="4" t="inlineStr">
        <is>
          <t>DXF_corte/A-K02.dxf</t>
        </is>
      </c>
      <c r="K36" s="4" t="inlineStr">
        <is>
          <t>STEP_piezas/A-K02.step</t>
        </is>
      </c>
      <c r="L36" s="4" t="inlineStr">
        <is>
          <t>Sujeta pantalla, Solo y cámara a ras del panel; tornillos M2 avellanados de la cámara</t>
        </is>
      </c>
    </row>
    <row r="37">
      <c r="A37" s="4" t="inlineStr">
        <is>
          <t>A-K03</t>
        </is>
      </c>
      <c r="B37" s="4" t="inlineStr">
        <is>
          <t>Trasera del cajón</t>
        </is>
      </c>
      <c r="C37" s="4" t="inlineStr">
        <is>
          <t>Cajón de componentes</t>
        </is>
      </c>
      <c r="D37" s="4" t="inlineStr">
        <is>
          <t>Acero DC01 1,5 mm</t>
        </is>
      </c>
      <c r="E37" s="4" t="inlineStr">
        <is>
          <t>Láser</t>
        </is>
      </c>
      <c r="F37" s="6" t="n">
        <v>226.5</v>
      </c>
      <c r="G37" s="6" t="n">
        <v>206.5</v>
      </c>
      <c r="H37" s="6" t="n">
        <v>1.5</v>
      </c>
      <c r="I37" s="9" t="n">
        <v>548</v>
      </c>
      <c r="J37" s="4" t="inlineStr">
        <is>
          <t>DXF_corte/A-K03.dxf</t>
        </is>
      </c>
      <c r="K37" s="4" t="inlineStr">
        <is>
          <t>STEP_piezas/A-K03.step</t>
        </is>
      </c>
      <c r="L37" s="4" t="inlineStr">
        <is>
          <t>Taladros de la fuente (M3) y de la Pi (M2,5); pares de ranuras para bridas</t>
        </is>
      </c>
    </row>
    <row r="38">
      <c r="A38" s="4" t="inlineStr">
        <is>
          <t>A-K04</t>
        </is>
      </c>
      <c r="B38" s="4" t="inlineStr">
        <is>
          <t>Lateral izquierdo del cajón</t>
        </is>
      </c>
      <c r="C38" s="4" t="inlineStr">
        <is>
          <t>Cajón de componentes</t>
        </is>
      </c>
      <c r="D38" s="4" t="inlineStr">
        <is>
          <t>Acero DC01 1,5 mm</t>
        </is>
      </c>
      <c r="E38" s="4" t="inlineStr">
        <is>
          <t>Láser</t>
        </is>
      </c>
      <c r="F38" s="6" t="n">
        <v>226.5</v>
      </c>
      <c r="G38" s="6" t="n">
        <v>71</v>
      </c>
      <c r="H38" s="6" t="n">
        <v>1.5</v>
      </c>
      <c r="I38" s="9" t="n">
        <v>182</v>
      </c>
      <c r="J38" s="4" t="inlineStr">
        <is>
          <t>DXF_corte/A-K04.dxf</t>
        </is>
      </c>
      <c r="K38" s="4" t="inlineStr">
        <is>
          <t>STEP_piezas/A-K04.step</t>
        </is>
      </c>
      <c r="L38" s="4" t="inlineStr">
        <is>
          <t>Paso del tubo de escape Ø12 con pasacables y rejillas</t>
        </is>
      </c>
    </row>
    <row r="39">
      <c r="A39" s="4" t="inlineStr">
        <is>
          <t>A-K05</t>
        </is>
      </c>
      <c r="B39" s="4" t="inlineStr">
        <is>
          <t>Lateral derecho del cajón</t>
        </is>
      </c>
      <c r="C39" s="4" t="inlineStr">
        <is>
          <t>Cajón de componentes</t>
        </is>
      </c>
      <c r="D39" s="4" t="inlineStr">
        <is>
          <t>Acero DC01 1,5 mm</t>
        </is>
      </c>
      <c r="E39" s="4" t="inlineStr">
        <is>
          <t>Láser</t>
        </is>
      </c>
      <c r="F39" s="6" t="n">
        <v>226.5</v>
      </c>
      <c r="G39" s="6" t="n">
        <v>71</v>
      </c>
      <c r="H39" s="6" t="n">
        <v>1.5</v>
      </c>
      <c r="I39" s="9" t="n">
        <v>176</v>
      </c>
      <c r="J39" s="4" t="inlineStr">
        <is>
          <t>DXF_corte/A-K05.dxf</t>
        </is>
      </c>
      <c r="K39" s="4" t="inlineStr">
        <is>
          <t>STEP_piezas/A-K05.step</t>
        </is>
      </c>
      <c r="L39" s="4" t="inlineStr">
        <is>
          <t>Recorte de la toma C14 (31.90 × 27.65, ancho × alto) y 2 taladros M3 a 36 mm, uno encima de otro</t>
        </is>
      </c>
    </row>
    <row r="40">
      <c r="A40" s="4" t="inlineStr">
        <is>
          <t>A-K06</t>
        </is>
      </c>
      <c r="B40" s="4" t="inlineStr">
        <is>
          <t>Asidero izquierdo</t>
        </is>
      </c>
      <c r="C40" s="4" t="inlineStr">
        <is>
          <t>Cajón de componentes</t>
        </is>
      </c>
      <c r="D40" s="4" t="inlineStr">
        <is>
          <t>Acero DC01 3 mm</t>
        </is>
      </c>
      <c r="E40" s="4" t="inlineStr">
        <is>
          <t>Láser</t>
        </is>
      </c>
      <c r="F40" s="6" t="n">
        <v>40</v>
      </c>
      <c r="G40" s="6" t="n">
        <v>30</v>
      </c>
      <c r="H40" s="6" t="n">
        <v>3</v>
      </c>
      <c r="I40" s="9" t="n">
        <v>19</v>
      </c>
      <c r="J40" s="4" t="inlineStr">
        <is>
          <t>DXF_corte/A-K06.dxf</t>
        </is>
      </c>
      <c r="K40" s="4" t="inlineStr">
        <is>
          <t>STEP_piezas/A-K06.step</t>
        </is>
      </c>
      <c r="L40" s="4" t="inlineStr">
        <is>
          <t>Soldado por dentro del lateral, a ras del borde. Agujero Ø22 para meter dos dedos y levantar el cajón</t>
        </is>
      </c>
    </row>
    <row r="41">
      <c r="A41" s="4" t="inlineStr">
        <is>
          <t>A-K07</t>
        </is>
      </c>
      <c r="B41" s="4" t="inlineStr">
        <is>
          <t>Asidero derecho</t>
        </is>
      </c>
      <c r="C41" s="4" t="inlineStr">
        <is>
          <t>Cajón de componentes</t>
        </is>
      </c>
      <c r="D41" s="4" t="inlineStr">
        <is>
          <t>Acero DC01 3 mm</t>
        </is>
      </c>
      <c r="E41" s="4" t="inlineStr">
        <is>
          <t>Láser</t>
        </is>
      </c>
      <c r="F41" s="6" t="n">
        <v>40</v>
      </c>
      <c r="G41" s="6" t="n">
        <v>30</v>
      </c>
      <c r="H41" s="6" t="n">
        <v>3</v>
      </c>
      <c r="I41" s="9" t="n">
        <v>19</v>
      </c>
      <c r="J41" s="4" t="inlineStr">
        <is>
          <t>DXF_corte/A-K07.dxf</t>
        </is>
      </c>
      <c r="K41" s="4" t="inlineStr">
        <is>
          <t>STEP_piezas/A-K07.step</t>
        </is>
      </c>
      <c r="L41" s="4" t="inlineStr">
        <is>
          <t>Soldado por dentro del lateral, a ras del borde. Agujero Ø22 para meter dos dedos y levantar el cajón</t>
        </is>
      </c>
    </row>
    <row r="42">
      <c r="A42" s="4" t="inlineStr">
        <is>
          <t>A-K08</t>
        </is>
      </c>
      <c r="B42" s="4" t="inlineStr">
        <is>
          <t>Tapa de la caja de red (230 V)</t>
        </is>
      </c>
      <c r="C42" s="4" t="inlineStr">
        <is>
          <t>Cajón de componentes</t>
        </is>
      </c>
      <c r="D42" s="4" t="inlineStr">
        <is>
          <t>Acero DC01 1,5 mm</t>
        </is>
      </c>
      <c r="E42" s="4" t="inlineStr">
        <is>
          <t>Láser</t>
        </is>
      </c>
      <c r="F42" s="6" t="n">
        <v>158</v>
      </c>
      <c r="G42" s="6" t="n">
        <v>37.5</v>
      </c>
      <c r="H42" s="6" t="n">
        <v>1.5</v>
      </c>
      <c r="I42" s="9" t="n">
        <v>68</v>
      </c>
      <c r="J42" s="4" t="inlineStr">
        <is>
          <t>DXF_corte/A-K08.dxf</t>
        </is>
      </c>
      <c r="K42" s="4" t="inlineStr">
        <is>
          <t>STEP_piezas/A-K08.step</t>
        </is>
      </c>
      <c r="L42" s="4" t="inlineStr">
        <is>
          <t>Cierra la fuente y la C14 por arriba; pasacables para 5 V y tierra; encima van WAGO, fusibles y bornes USB</t>
        </is>
      </c>
    </row>
    <row r="43">
      <c r="A43" s="4" t="inlineStr">
        <is>
          <t>A-K09</t>
        </is>
      </c>
      <c r="B43" s="4" t="inlineStr">
        <is>
          <t>Frente de la caja de red</t>
        </is>
      </c>
      <c r="C43" s="4" t="inlineStr">
        <is>
          <t>Cajón de componentes</t>
        </is>
      </c>
      <c r="D43" s="4" t="inlineStr">
        <is>
          <t>Acero DC01 1,5 mm</t>
        </is>
      </c>
      <c r="E43" s="4" t="inlineStr">
        <is>
          <t>Láser</t>
        </is>
      </c>
      <c r="F43" s="6" t="n">
        <v>158</v>
      </c>
      <c r="G43" s="6" t="n">
        <v>88</v>
      </c>
      <c r="H43" s="6" t="n">
        <v>1.5</v>
      </c>
      <c r="I43" s="9" t="n">
        <v>159</v>
      </c>
      <c r="J43" s="4" t="inlineStr">
        <is>
          <t>DXF_corte/A-K09.dxf</t>
        </is>
      </c>
      <c r="K43" s="4" t="inlineStr">
        <is>
          <t>STEP_piezas/A-K09.step</t>
        </is>
      </c>
      <c r="L43" s="4" t="inlineStr">
        <is>
          <t>Rejilla de ventilación abajo</t>
        </is>
      </c>
    </row>
    <row r="44">
      <c r="A44" s="4" t="inlineStr">
        <is>
          <t>A-K10</t>
        </is>
      </c>
      <c r="B44" s="4" t="inlineStr">
        <is>
          <t>Lateral de la caja de red</t>
        </is>
      </c>
      <c r="C44" s="4" t="inlineStr">
        <is>
          <t>Cajón de componentes</t>
        </is>
      </c>
      <c r="D44" s="4" t="inlineStr">
        <is>
          <t>Acero DC01 1,5 mm</t>
        </is>
      </c>
      <c r="E44" s="4" t="inlineStr">
        <is>
          <t>Láser</t>
        </is>
      </c>
      <c r="F44" s="6" t="n">
        <v>88</v>
      </c>
      <c r="G44" s="6" t="n">
        <v>36</v>
      </c>
      <c r="H44" s="6" t="n">
        <v>1.5</v>
      </c>
      <c r="I44" s="9" t="n">
        <v>37</v>
      </c>
      <c r="J44" s="4" t="inlineStr">
        <is>
          <t>DXF_corte/A-K10.dxf</t>
        </is>
      </c>
      <c r="K44" s="4" t="inlineStr">
        <is>
          <t>STEP_piezas/A-K10.step</t>
        </is>
      </c>
      <c r="L44" s="4" t="inlineStr">
        <is>
          <t>Tapa, frente y lateral de la caja de red se sueldan entre sí: forman una tapa en U que se quita con 2 tuercas M4</t>
        </is>
      </c>
    </row>
    <row r="45">
      <c r="A45" s="4" t="inlineStr">
        <is>
          <t>A-K11</t>
        </is>
      </c>
      <c r="B45" s="4" t="inlineStr">
        <is>
          <t>Pestaña de fijación de la caja de red (derecha)</t>
        </is>
      </c>
      <c r="C45" s="4" t="inlineStr">
        <is>
          <t>Cajón de componentes</t>
        </is>
      </c>
      <c r="D45" s="4" t="inlineStr">
        <is>
          <t>Acero DC01 1,5 mm</t>
        </is>
      </c>
      <c r="E45" s="4" t="inlineStr">
        <is>
          <t>Láser</t>
        </is>
      </c>
      <c r="F45" s="6" t="n">
        <v>20</v>
      </c>
      <c r="G45" s="6" t="n">
        <v>14</v>
      </c>
      <c r="H45" s="6" t="n">
        <v>1.5</v>
      </c>
      <c r="I45" s="9" t="n">
        <v>3</v>
      </c>
      <c r="J45" s="4" t="inlineStr">
        <is>
          <t>DXF_corte/A-K11.dxf</t>
        </is>
      </c>
      <c r="K45" s="4" t="inlineStr">
        <is>
          <t>STEP_piezas/A-K11.step</t>
        </is>
      </c>
      <c r="L45" s="4" t="inlineStr">
        <is>
          <t>Soldada al borde inferior de la tapa en U; taladro Ø4,5 para el espárrago M4 de la base</t>
        </is>
      </c>
    </row>
    <row r="46">
      <c r="A46" s="4" t="inlineStr">
        <is>
          <t>A-K12</t>
        </is>
      </c>
      <c r="B46" s="4" t="inlineStr">
        <is>
          <t>Pestaña de fijación de la caja de red (izquierda)</t>
        </is>
      </c>
      <c r="C46" s="4" t="inlineStr">
        <is>
          <t>Cajón de componentes</t>
        </is>
      </c>
      <c r="D46" s="4" t="inlineStr">
        <is>
          <t>Acero DC01 1,5 mm</t>
        </is>
      </c>
      <c r="E46" s="4" t="inlineStr">
        <is>
          <t>Láser</t>
        </is>
      </c>
      <c r="F46" s="6" t="n">
        <v>20</v>
      </c>
      <c r="G46" s="6" t="n">
        <v>14</v>
      </c>
      <c r="H46" s="6" t="n">
        <v>1.5</v>
      </c>
      <c r="I46" s="9" t="n">
        <v>3</v>
      </c>
      <c r="J46" s="4" t="inlineStr">
        <is>
          <t>DXF_corte/A-K12.dxf</t>
        </is>
      </c>
      <c r="K46" s="4" t="inlineStr">
        <is>
          <t>STEP_piezas/A-K12.step</t>
        </is>
      </c>
      <c r="L46" s="4" t="inlineStr">
        <is>
          <t>Soldada al borde inferior de la tapa en U; taladro Ø4,5 para el espárrago M4 de la base</t>
        </is>
      </c>
    </row>
    <row r="47">
      <c r="A47" s="4" t="inlineStr">
        <is>
          <t>A-S01</t>
        </is>
      </c>
      <c r="B47" s="4" t="inlineStr">
        <is>
          <t>Pletina inferior de la pantalla</t>
        </is>
      </c>
      <c r="C47" s="4" t="inlineStr">
        <is>
          <t>Soportes</t>
        </is>
      </c>
      <c r="D47" s="4" t="inlineStr">
        <is>
          <t>Acero DC01 1,5 mm</t>
        </is>
      </c>
      <c r="E47" s="4" t="inlineStr">
        <is>
          <t>Láser</t>
        </is>
      </c>
      <c r="F47" s="6" t="n">
        <v>185</v>
      </c>
      <c r="G47" s="6" t="n">
        <v>11.5</v>
      </c>
      <c r="H47" s="6" t="n">
        <v>1.5</v>
      </c>
      <c r="I47" s="9" t="n">
        <v>25</v>
      </c>
      <c r="J47" s="4" t="inlineStr">
        <is>
          <t>DXF_corte/A-S01.dxf</t>
        </is>
      </c>
      <c r="K47" s="4" t="inlineStr">
        <is>
          <t>STEP_piezas/A-S01.step</t>
        </is>
      </c>
      <c r="L47" s="4" t="inlineStr">
        <is>
          <t>Aprieta el borde del vidrio contra el frente (con burlete de goma)</t>
        </is>
      </c>
    </row>
    <row r="48">
      <c r="A48" s="4" t="inlineStr">
        <is>
          <t>A-S02</t>
        </is>
      </c>
      <c r="B48" s="4" t="inlineStr">
        <is>
          <t>Pletina superior de la pantalla</t>
        </is>
      </c>
      <c r="C48" s="4" t="inlineStr">
        <is>
          <t>Soportes</t>
        </is>
      </c>
      <c r="D48" s="4" t="inlineStr">
        <is>
          <t>Acero DC01 1,5 mm</t>
        </is>
      </c>
      <c r="E48" s="4" t="inlineStr">
        <is>
          <t>Láser</t>
        </is>
      </c>
      <c r="F48" s="6" t="n">
        <v>185</v>
      </c>
      <c r="G48" s="6" t="n">
        <v>11.5</v>
      </c>
      <c r="H48" s="6" t="n">
        <v>1.5</v>
      </c>
      <c r="I48" s="9" t="n">
        <v>25</v>
      </c>
      <c r="J48" s="4" t="inlineStr">
        <is>
          <t>DXF_corte/A-S02.dxf</t>
        </is>
      </c>
      <c r="K48" s="4" t="inlineStr">
        <is>
          <t>STEP_piezas/A-S02.step</t>
        </is>
      </c>
      <c r="L48" s="4" t="inlineStr">
        <is>
          <t>Aprieta el borde del vidrio contra el frente (con burlete de goma)</t>
        </is>
      </c>
    </row>
    <row r="49">
      <c r="A49" s="4" t="inlineStr">
        <is>
          <t>A-S03</t>
        </is>
      </c>
      <c r="B49" s="4" t="inlineStr">
        <is>
          <t>Repisa del Solo</t>
        </is>
      </c>
      <c r="C49" s="4" t="inlineStr">
        <is>
          <t>Soportes</t>
        </is>
      </c>
      <c r="D49" s="4" t="inlineStr">
        <is>
          <t>Acero DC01 1,5 mm</t>
        </is>
      </c>
      <c r="E49" s="4" t="inlineStr">
        <is>
          <t>Láser</t>
        </is>
      </c>
      <c r="F49" s="6" t="n">
        <v>89.2</v>
      </c>
      <c r="G49" s="6" t="n">
        <v>22</v>
      </c>
      <c r="H49" s="6" t="n">
        <v>1.5</v>
      </c>
      <c r="I49" s="9" t="n">
        <v>20</v>
      </c>
      <c r="J49" s="4" t="inlineStr">
        <is>
          <t>DXF_corte/A-S03.dxf</t>
        </is>
      </c>
      <c r="K49" s="4" t="inlineStr">
        <is>
          <t>STEP_piezas/A-S03.step</t>
        </is>
      </c>
      <c r="L49" s="4" t="inlineStr">
        <is>
          <t>Soldada al frente del cajón; muesca de 16 mm para la clavija USB-C</t>
        </is>
      </c>
    </row>
    <row r="50">
      <c r="A50" s="4" t="inlineStr">
        <is>
          <t>A-S04</t>
        </is>
      </c>
      <c r="B50" s="4" t="inlineStr">
        <is>
          <t>Contraplaca del Solo</t>
        </is>
      </c>
      <c r="C50" s="4" t="inlineStr">
        <is>
          <t>Soportes</t>
        </is>
      </c>
      <c r="D50" s="4" t="inlineStr">
        <is>
          <t>Acero DC01 1,5 mm</t>
        </is>
      </c>
      <c r="E50" s="4" t="inlineStr">
        <is>
          <t>Láser</t>
        </is>
      </c>
      <c r="F50" s="6" t="n">
        <v>101.2</v>
      </c>
      <c r="G50" s="6" t="n">
        <v>42</v>
      </c>
      <c r="H50" s="6" t="n">
        <v>1.5</v>
      </c>
      <c r="I50" s="9" t="n">
        <v>50</v>
      </c>
      <c r="J50" s="4" t="inlineStr">
        <is>
          <t>DXF_corte/A-S04.dxf</t>
        </is>
      </c>
      <c r="K50" s="4" t="inlineStr">
        <is>
          <t>STEP_piezas/A-S04.step</t>
        </is>
      </c>
      <c r="L50" s="4" t="inlineStr">
        <is>
          <t>Aprieta el Solo por detrás con goma de 2 mm</t>
        </is>
      </c>
    </row>
    <row r="51">
      <c r="A51" s="10" t="inlineStr">
        <is>
          <t>Total</t>
        </is>
      </c>
      <c r="B51" s="10">
        <f>COUNTA(A5:A50)&amp;" piezas"</f>
        <v/>
      </c>
      <c r="C51" s="11" t="n"/>
      <c r="D51" s="11" t="n"/>
      <c r="E51" s="11" t="n"/>
      <c r="F51" s="11" t="n"/>
      <c r="G51" s="11" t="n"/>
      <c r="H51" s="11" t="n"/>
      <c r="I51" s="12">
        <f>SUM(I5:I50)</f>
        <v/>
      </c>
      <c r="J51" s="11" t="n"/>
      <c r="K51" s="11" t="n"/>
      <c r="L51" s="1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0" customWidth="1" min="2" max="2"/>
    <col width="13" customWidth="1" min="3" max="3"/>
    <col width="30" customWidth="1" min="4" max="4"/>
    <col width="11" customWidth="1" min="5" max="5"/>
    <col width="11" customWidth="1" min="6" max="6"/>
    <col width="11" customWidth="1" min="7" max="7"/>
    <col width="12" customWidth="1" min="8" max="8"/>
    <col width="11" customWidth="1" min="9" max="9"/>
    <col width="34" customWidth="1" min="10" max="10"/>
    <col width="52" customWidth="1" min="11" max="11"/>
  </cols>
  <sheetData>
    <row r="1">
      <c r="A1" s="1" t="inlineStr">
        <is>
          <t>Diseño A · Compacta — compras (Amazon.es)</t>
        </is>
      </c>
    </row>
    <row r="2">
      <c r="A2" s="2" t="inlineStr">
        <is>
          <t>Celdas amarillas: paquetes a pedir (revisa cuántas unidades trae cada anuncio). Precios del anuncio consultados el 19–21/10/2026.</t>
        </is>
      </c>
    </row>
    <row r="4" ht="30" customHeight="1">
      <c r="A4" s="3" t="inlineStr">
        <is>
          <t>Ref.</t>
        </is>
      </c>
      <c r="B4" s="3" t="inlineStr">
        <is>
          <t>Artículo</t>
        </is>
      </c>
      <c r="C4" s="3" t="inlineStr">
        <is>
          <t>ASIN</t>
        </is>
      </c>
      <c r="D4" s="3" t="inlineStr">
        <is>
          <t>Enlace</t>
        </is>
      </c>
      <c r="E4" s="3" t="inlineStr">
        <is>
          <t>Uds. por máquina</t>
        </is>
      </c>
      <c r="F4" s="3" t="inlineStr">
        <is>
          <t>Uds. por anuncio</t>
        </is>
      </c>
      <c r="G4" s="3" t="inlineStr">
        <is>
          <t>Paquetes a pedir</t>
        </is>
      </c>
      <c r="H4" s="3" t="inlineStr">
        <is>
          <t>Precio anuncio (€)</t>
        </is>
      </c>
      <c r="I4" s="3" t="inlineStr">
        <is>
          <t>Coste (€)</t>
        </is>
      </c>
      <c r="J4" s="3" t="inlineStr">
        <is>
          <t>Números en el 3D</t>
        </is>
      </c>
      <c r="K4" s="3" t="inlineStr">
        <is>
          <t>Notas</t>
        </is>
      </c>
    </row>
    <row r="5">
      <c r="A5" s="4" t="inlineStr">
        <is>
          <t>E01</t>
        </is>
      </c>
      <c r="B5" s="4" t="inlineStr">
        <is>
          <t>Pantalla GeeekPi 7" 1024×600 EP-0170</t>
        </is>
      </c>
      <c r="C5" s="4" t="inlineStr">
        <is>
          <t>B0CHMBCCJB</t>
        </is>
      </c>
      <c r="D5" s="13" t="inlineStr">
        <is>
          <t>https://www.amazon.es/dp/B0CHMBCCJB</t>
        </is>
      </c>
      <c r="E5" s="4" t="n">
        <v>1</v>
      </c>
      <c r="F5" s="14" t="n"/>
      <c r="G5" s="15" t="n">
        <v>1</v>
      </c>
      <c r="H5" s="7" t="n">
        <v>45.99</v>
      </c>
      <c r="I5" s="7">
        <f>G5*H5</f>
        <v/>
      </c>
      <c r="J5" s="4" t="inlineStr">
        <is>
          <t>E01.1</t>
        </is>
      </c>
      <c r="K5" s="4" t="inlineStr"/>
    </row>
    <row r="6">
      <c r="A6" s="4" t="inlineStr">
        <is>
          <t>E02</t>
        </is>
      </c>
      <c r="B6" s="4" t="inlineStr">
        <is>
          <t>SumUp Solo</t>
        </is>
      </c>
      <c r="C6" s="4" t="inlineStr">
        <is>
          <t>B0C9V3LXTF</t>
        </is>
      </c>
      <c r="D6" s="13" t="inlineStr">
        <is>
          <t>https://www.amazon.es/dp/B0C9V3LXTF</t>
        </is>
      </c>
      <c r="E6" s="4" t="n">
        <v>1</v>
      </c>
      <c r="F6" s="14" t="n"/>
      <c r="G6" s="15" t="n">
        <v>1</v>
      </c>
      <c r="H6" s="7" t="n">
        <v>72.18000000000001</v>
      </c>
      <c r="I6" s="7">
        <f>G6*H6</f>
        <v/>
      </c>
      <c r="J6" s="4" t="inlineStr">
        <is>
          <t>E02.1</t>
        </is>
      </c>
      <c r="K6" s="4" t="inlineStr"/>
    </row>
    <row r="7">
      <c r="A7" s="4" t="inlineStr">
        <is>
          <t>E03</t>
        </is>
      </c>
      <c r="B7" s="4" t="inlineStr">
        <is>
          <t>Raspberry Pi Camera Module 3 (estándar)</t>
        </is>
      </c>
      <c r="C7" s="4" t="inlineStr">
        <is>
          <t>B0BRY6MVXL</t>
        </is>
      </c>
      <c r="D7" s="13" t="inlineStr">
        <is>
          <t>https://www.amazon.es/dp/B0BRY6MVXL</t>
        </is>
      </c>
      <c r="E7" s="4" t="n">
        <v>1</v>
      </c>
      <c r="F7" s="14" t="n"/>
      <c r="G7" s="15" t="n">
        <v>1</v>
      </c>
      <c r="H7" s="7" t="n">
        <v>48.04</v>
      </c>
      <c r="I7" s="7">
        <f>G7*H7</f>
        <v/>
      </c>
      <c r="J7" s="4" t="inlineStr">
        <is>
          <t>E03.1</t>
        </is>
      </c>
      <c r="K7" s="4" t="inlineStr"/>
    </row>
    <row r="8">
      <c r="A8" s="4" t="inlineStr">
        <is>
          <t>E04</t>
        </is>
      </c>
      <c r="B8" s="4" t="inlineStr">
        <is>
          <t>Raspberry Pi 3B+</t>
        </is>
      </c>
      <c r="C8" s="4" t="inlineStr">
        <is>
          <t>B0BNJPL4MW</t>
        </is>
      </c>
      <c r="D8" s="13" t="inlineStr">
        <is>
          <t>https://www.amazon.es/dp/B0BNJPL4MW</t>
        </is>
      </c>
      <c r="E8" s="4" t="n">
        <v>1</v>
      </c>
      <c r="F8" s="14" t="n"/>
      <c r="G8" s="15" t="n">
        <v>1</v>
      </c>
      <c r="H8" s="7" t="n">
        <v>54.9</v>
      </c>
      <c r="I8" s="7">
        <f>G8*H8</f>
        <v/>
      </c>
      <c r="J8" s="4" t="inlineStr">
        <is>
          <t>E04.1</t>
        </is>
      </c>
      <c r="K8" s="4" t="inlineStr"/>
    </row>
    <row r="9">
      <c r="A9" s="4" t="inlineStr">
        <is>
          <t>E05</t>
        </is>
      </c>
      <c r="B9" s="4" t="inlineStr">
        <is>
          <t>Adaptador Wi-Fi AR9271 con antena</t>
        </is>
      </c>
      <c r="C9" s="4" t="inlineStr">
        <is>
          <t>B0CBW6THN1</t>
        </is>
      </c>
      <c r="D9" s="13" t="inlineStr">
        <is>
          <t>https://www.amazon.es/dp/B0CBW6THN1</t>
        </is>
      </c>
      <c r="E9" s="4" t="n">
        <v>1</v>
      </c>
      <c r="F9" s="14" t="n"/>
      <c r="G9" s="15" t="n">
        <v>1</v>
      </c>
      <c r="H9" s="7" t="n">
        <v>16.24</v>
      </c>
      <c r="I9" s="7">
        <f>G9*H9</f>
        <v/>
      </c>
      <c r="J9" s="4" t="inlineStr">
        <is>
          <t>E05.1</t>
        </is>
      </c>
      <c r="K9" s="4" t="inlineStr"/>
    </row>
    <row r="10">
      <c r="A10" s="4" t="inlineStr">
        <is>
          <t>E06</t>
        </is>
      </c>
      <c r="B10" s="4" t="inlineStr">
        <is>
          <t>Fuente Mean Well LRS-50-5</t>
        </is>
      </c>
      <c r="C10" s="4" t="inlineStr">
        <is>
          <t>B06XWRCWZ9</t>
        </is>
      </c>
      <c r="D10" s="13" t="inlineStr">
        <is>
          <t>https://www.amazon.es/dp/B06XWRCWZ9</t>
        </is>
      </c>
      <c r="E10" s="4" t="n">
        <v>1</v>
      </c>
      <c r="F10" s="14" t="n"/>
      <c r="G10" s="15" t="n">
        <v>1</v>
      </c>
      <c r="H10" s="7" t="n">
        <v>18.52</v>
      </c>
      <c r="I10" s="7">
        <f>G10*H10</f>
        <v/>
      </c>
      <c r="J10" s="4" t="inlineStr">
        <is>
          <t>E06.1</t>
        </is>
      </c>
      <c r="K10" s="4" t="inlineStr"/>
    </row>
    <row r="11">
      <c r="A11" s="4" t="inlineStr">
        <is>
          <t>E07</t>
        </is>
      </c>
      <c r="B11" s="4" t="inlineStr">
        <is>
          <t>Toma C14 con portafusibles, sin interruptor (Cablepelado)</t>
        </is>
      </c>
      <c r="C11" s="4" t="inlineStr">
        <is>
          <t>B07CQ54BY4</t>
        </is>
      </c>
      <c r="D11" s="13" t="inlineStr">
        <is>
          <t>https://www.amazon.es/dp/B07CQ54BY4</t>
        </is>
      </c>
      <c r="E11" s="4" t="n">
        <v>1</v>
      </c>
      <c r="F11" s="14" t="n"/>
      <c r="G11" s="15" t="n">
        <v>1</v>
      </c>
      <c r="H11" s="7" t="n">
        <v>8.029999999999999</v>
      </c>
      <c r="I11" s="7">
        <f>G11*H11</f>
        <v/>
      </c>
      <c r="J11" s="4" t="inlineStr">
        <is>
          <t>E07.1</t>
        </is>
      </c>
      <c r="K11" s="4" t="inlineStr"/>
    </row>
    <row r="12">
      <c r="A12" s="4" t="inlineStr">
        <is>
          <t>E08</t>
        </is>
      </c>
      <c r="B12" s="4" t="inlineStr">
        <is>
          <t>WAGO 221-415 (kit 221)</t>
        </is>
      </c>
      <c r="C12" s="4" t="inlineStr">
        <is>
          <t>B09XB58ZXJ</t>
        </is>
      </c>
      <c r="D12" s="13" t="inlineStr">
        <is>
          <t>https://www.amazon.es/dp/B09XB58ZXJ</t>
        </is>
      </c>
      <c r="E12" s="4" t="n">
        <v>2</v>
      </c>
      <c r="F12" s="4" t="n">
        <v>25</v>
      </c>
      <c r="G12" s="14">
        <f>ROUNDUP(E12/F12,0)</f>
        <v/>
      </c>
      <c r="H12" s="7" t="n">
        <v>27.08</v>
      </c>
      <c r="I12" s="7">
        <f>G12*H12</f>
        <v/>
      </c>
      <c r="J12" s="4" t="inlineStr">
        <is>
          <t>E08.1, E08.2, E08.3, E08.4</t>
        </is>
      </c>
      <c r="K12" s="4" t="inlineStr"/>
    </row>
    <row r="13">
      <c r="A13" s="4" t="inlineStr">
        <is>
          <t>E09</t>
        </is>
      </c>
      <c r="B13" s="4" t="inlineStr">
        <is>
          <t>Borne USB-A hembra a tornillo</t>
        </is>
      </c>
      <c r="C13" s="4" t="inlineStr">
        <is>
          <t>B07V86XPL4</t>
        </is>
      </c>
      <c r="D13" s="13" t="inlineStr">
        <is>
          <t>https://www.amazon.es/dp/B07V86XPL4</t>
        </is>
      </c>
      <c r="E13" s="4" t="n">
        <v>2</v>
      </c>
      <c r="F13" s="4" t="n">
        <v>2</v>
      </c>
      <c r="G13" s="14">
        <f>ROUNDUP(E13/F13,0)</f>
        <v/>
      </c>
      <c r="H13" s="7" t="n">
        <v>10.99</v>
      </c>
      <c r="I13" s="7">
        <f>G13*H13</f>
        <v/>
      </c>
      <c r="J13" s="4" t="inlineStr">
        <is>
          <t>E09.1, E09.2</t>
        </is>
      </c>
      <c r="K13" s="4" t="inlineStr"/>
    </row>
    <row r="14">
      <c r="A14" s="4" t="inlineStr">
        <is>
          <t>E10</t>
        </is>
      </c>
      <c r="B14" s="4" t="inlineStr">
        <is>
          <t>Portafusibles en línea mini + fusibles</t>
        </is>
      </c>
      <c r="C14" s="4" t="inlineStr">
        <is>
          <t>B07Q495GQG</t>
        </is>
      </c>
      <c r="D14" s="13" t="inlineStr">
        <is>
          <t>https://www.amazon.es/dp/B07Q495GQG</t>
        </is>
      </c>
      <c r="E14" s="4" t="n">
        <v>4</v>
      </c>
      <c r="F14" s="14" t="n"/>
      <c r="G14" s="15" t="n">
        <v>1</v>
      </c>
      <c r="H14" s="7" t="n">
        <v>9.49</v>
      </c>
      <c r="I14" s="7">
        <f>G14*H14</f>
        <v/>
      </c>
      <c r="J14" s="4" t="inlineStr">
        <is>
          <t>E10.1, E10.2, E10.3, E10.4</t>
        </is>
      </c>
      <c r="K14" s="4" t="inlineStr"/>
    </row>
    <row r="15">
      <c r="A15" s="4" t="inlineStr">
        <is>
          <t>E11</t>
        </is>
      </c>
      <c r="B15" s="4" t="inlineStr">
        <is>
          <t>Sensor de alcohol Winsen ZE29A</t>
        </is>
      </c>
      <c r="C15" s="4" t="inlineStr">
        <is>
          <t>B0H8NVXVG5</t>
        </is>
      </c>
      <c r="D15" s="13" t="inlineStr">
        <is>
          <t>https://www.amazon.es/dp/B0H8NVXVG5</t>
        </is>
      </c>
      <c r="E15" s="4" t="n">
        <v>1</v>
      </c>
      <c r="F15" s="14" t="n"/>
      <c r="G15" s="15" t="n">
        <v>1</v>
      </c>
      <c r="H15" s="7" t="n">
        <v>108.46</v>
      </c>
      <c r="I15" s="7">
        <f>G15*H15</f>
        <v/>
      </c>
      <c r="J15" s="4" t="inlineStr">
        <is>
          <t>E11.1</t>
        </is>
      </c>
      <c r="K15" s="4" t="inlineStr"/>
    </row>
    <row r="16">
      <c r="A16" s="4" t="inlineStr">
        <is>
          <t>E12</t>
        </is>
      </c>
      <c r="B16" s="4" t="inlineStr">
        <is>
          <t>Alargo RP-SMA 30 cm (pasamuros)</t>
        </is>
      </c>
      <c r="C16" s="4" t="inlineStr">
        <is>
          <t>B0FJRPC7MN</t>
        </is>
      </c>
      <c r="D16" s="13" t="inlineStr">
        <is>
          <t>https://www.amazon.es/dp/B0FJRPC7MN</t>
        </is>
      </c>
      <c r="E16" s="4" t="n">
        <v>1</v>
      </c>
      <c r="F16" s="4" t="n">
        <v>2</v>
      </c>
      <c r="G16" s="14">
        <f>ROUNDUP(E16/F16,0)</f>
        <v/>
      </c>
      <c r="H16" s="7" t="n">
        <v>9.99</v>
      </c>
      <c r="I16" s="7">
        <f>G16*H16</f>
        <v/>
      </c>
      <c r="J16" s="4" t="inlineStr">
        <is>
          <t>E12.1</t>
        </is>
      </c>
      <c r="K16" s="4" t="inlineStr"/>
    </row>
    <row r="17">
      <c r="A17" s="4" t="inlineStr">
        <is>
          <t>E13</t>
        </is>
      </c>
      <c r="B17" s="4" t="inlineStr">
        <is>
          <t>Tubo de silicona 6 mm</t>
        </is>
      </c>
      <c r="C17" s="4" t="inlineStr">
        <is>
          <t>B0D9FJY1SG</t>
        </is>
      </c>
      <c r="D17" s="13" t="inlineStr">
        <is>
          <t>https://www.amazon.es/dp/B0D9FJY1SG</t>
        </is>
      </c>
      <c r="E17" s="4" t="n">
        <v>1</v>
      </c>
      <c r="F17" s="14" t="n"/>
      <c r="G17" s="15" t="n">
        <v>1</v>
      </c>
      <c r="H17" s="7" t="n">
        <v>6.99</v>
      </c>
      <c r="I17" s="7">
        <f>G17*H17</f>
        <v/>
      </c>
      <c r="J17" s="4" t="inlineStr">
        <is>
          <t>(no dibujado)</t>
        </is>
      </c>
      <c r="K17" s="4" t="inlineStr">
        <is>
          <t>Un rollo da para varias máquinas (unos 40 cm por máquina)</t>
        </is>
      </c>
    </row>
    <row r="18">
      <c r="A18" s="4" t="inlineStr">
        <is>
          <t>E14</t>
        </is>
      </c>
      <c r="B18" s="4" t="inlineStr">
        <is>
          <t>Conector en T para tubo 6 mm</t>
        </is>
      </c>
      <c r="C18" s="4" t="inlineStr">
        <is>
          <t>B0GT5XPRWK</t>
        </is>
      </c>
      <c r="D18" s="13" t="inlineStr">
        <is>
          <t>https://www.amazon.es/dp/B0GT5XPRWK</t>
        </is>
      </c>
      <c r="E18" s="4" t="n">
        <v>2</v>
      </c>
      <c r="F18" s="14" t="n"/>
      <c r="G18" s="15" t="n">
        <v>1</v>
      </c>
      <c r="H18" s="7" t="n">
        <v>4.74</v>
      </c>
      <c r="I18" s="7">
        <f>G18*H18</f>
        <v/>
      </c>
      <c r="J18" s="4" t="inlineStr">
        <is>
          <t>E14.1, E14.2</t>
        </is>
      </c>
      <c r="K18" s="4" t="inlineStr">
        <is>
          <t>Dos T: toma de presión y toma de alcohol</t>
        </is>
      </c>
    </row>
    <row r="19">
      <c r="A19" s="4" t="inlineStr">
        <is>
          <t>E15</t>
        </is>
      </c>
      <c r="B19" s="4" t="inlineStr">
        <is>
          <t>Reductor de latón 6→4 mm (restricción)</t>
        </is>
      </c>
      <c r="C19" s="4" t="inlineStr">
        <is>
          <t>B0H38RDVZR</t>
        </is>
      </c>
      <c r="D19" s="13" t="inlineStr">
        <is>
          <t>https://www.amazon.es/dp/B0H38RDVZR</t>
        </is>
      </c>
      <c r="E19" s="4" t="n">
        <v>2</v>
      </c>
      <c r="F19" s="4" t="n">
        <v>4</v>
      </c>
      <c r="G19" s="14">
        <f>ROUNDUP(E19/F19,0)</f>
        <v/>
      </c>
      <c r="H19" s="7" t="n">
        <v>8.199999999999999</v>
      </c>
      <c r="I19" s="7">
        <f>G19*H19</f>
        <v/>
      </c>
      <c r="J19" s="4" t="inlineStr">
        <is>
          <t>E15.1, E15.2</t>
        </is>
      </c>
      <c r="K19" s="4" t="inlineStr">
        <is>
          <t>Dos reductores del mismo pack (6→4 y 4→6) con un tramo de tubo de 4 mm entre ellos: es la barrera que crea la presión. El tubo de 4 mm no está en la lista</t>
        </is>
      </c>
    </row>
    <row r="20">
      <c r="A20" s="4" t="inlineStr">
        <is>
          <t>E16</t>
        </is>
      </c>
      <c r="B20" s="4" t="inlineStr">
        <is>
          <t>Cable HDMI 30 cm acodado 90°</t>
        </is>
      </c>
      <c r="C20" s="4" t="inlineStr">
        <is>
          <t>B09XHW8C8W</t>
        </is>
      </c>
      <c r="D20" s="13" t="inlineStr">
        <is>
          <t>https://www.amazon.es/dp/B09XHW8C8W</t>
        </is>
      </c>
      <c r="E20" s="4" t="n">
        <v>1</v>
      </c>
      <c r="F20" s="14" t="n"/>
      <c r="G20" s="15" t="n">
        <v>1</v>
      </c>
      <c r="H20" s="7" t="n">
        <v>8.09</v>
      </c>
      <c r="I20" s="7">
        <f>G20*H20</f>
        <v/>
      </c>
      <c r="J20" s="4" t="inlineStr">
        <is>
          <t>E16.1, E16.2</t>
        </is>
      </c>
      <c r="K20" s="4" t="inlineStr">
        <is>
          <t>Si el cable que trae la pantalla ya es acodado, este sobra</t>
        </is>
      </c>
    </row>
    <row r="21">
      <c r="A21" s="4" t="inlineStr">
        <is>
          <t>E17</t>
        </is>
      </c>
      <c r="B21" s="4" t="inlineStr">
        <is>
          <t>Cable USB-A → USB-C acodado 30 cm</t>
        </is>
      </c>
      <c r="C21" s="4" t="inlineStr">
        <is>
          <t>B0C8FS5FV2</t>
        </is>
      </c>
      <c r="D21" s="13" t="inlineStr">
        <is>
          <t>https://www.amazon.es/dp/B0C8FS5FV2</t>
        </is>
      </c>
      <c r="E21" s="4" t="n">
        <v>2</v>
      </c>
      <c r="F21" s="4" t="n">
        <v>1</v>
      </c>
      <c r="G21" s="14">
        <f>ROUNDUP(E21/F21,0)</f>
        <v/>
      </c>
      <c r="H21" s="7" t="n">
        <v>4.99</v>
      </c>
      <c r="I21" s="7">
        <f>G21*H21</f>
        <v/>
      </c>
      <c r="J21" s="4" t="inlineStr">
        <is>
          <t>E17.1, E17.2, E17.3</t>
        </is>
      </c>
      <c r="K21" s="4" t="inlineStr">
        <is>
          <t>Uno para la pantalla y otro para el Solo</t>
        </is>
      </c>
    </row>
    <row r="22">
      <c r="A22" s="4" t="inlineStr">
        <is>
          <t>E18</t>
        </is>
      </c>
      <c r="B22" s="4" t="inlineStr">
        <is>
          <t>Latiguillo micro-USB 22 AWG</t>
        </is>
      </c>
      <c r="C22" s="4" t="inlineStr">
        <is>
          <t>B0DP2NT8LY</t>
        </is>
      </c>
      <c r="D22" s="13" t="inlineStr">
        <is>
          <t>https://www.amazon.es/dp/B0DP2NT8LY</t>
        </is>
      </c>
      <c r="E22" s="4" t="n">
        <v>1</v>
      </c>
      <c r="F22" s="4" t="n">
        <v>6</v>
      </c>
      <c r="G22" s="14">
        <f>ROUNDUP(E22/F22,0)</f>
        <v/>
      </c>
      <c r="H22" s="7" t="n">
        <v>8.49</v>
      </c>
      <c r="I22" s="7">
        <f>G22*H22</f>
        <v/>
      </c>
      <c r="J22" s="4" t="inlineStr">
        <is>
          <t>E18.1</t>
        </is>
      </c>
      <c r="K22" s="4" t="inlineStr">
        <is>
          <t>Se corta a 15 cm o menos</t>
        </is>
      </c>
    </row>
    <row r="23">
      <c r="A23" s="4" t="inlineStr">
        <is>
          <t>E19</t>
        </is>
      </c>
      <c r="B23" s="4" t="inlineStr">
        <is>
          <t>Cable JST-XH 4 pines (sensor)</t>
        </is>
      </c>
      <c r="C23" s="4" t="inlineStr">
        <is>
          <t>B0CBWZNP6Z</t>
        </is>
      </c>
      <c r="D23" s="13" t="inlineStr">
        <is>
          <t>https://www.amazon.es/dp/B0CBWZNP6Z</t>
        </is>
      </c>
      <c r="E23" s="4" t="n">
        <v>1</v>
      </c>
      <c r="F23" s="14" t="n"/>
      <c r="G23" s="15" t="n">
        <v>1</v>
      </c>
      <c r="H23" s="7" t="n">
        <v>8.99</v>
      </c>
      <c r="I23" s="7">
        <f>G23*H23</f>
        <v/>
      </c>
      <c r="J23" s="4" t="inlineStr">
        <is>
          <t>E19.1</t>
        </is>
      </c>
      <c r="K23" s="4" t="inlineStr">
        <is>
          <t>UART y 5 V del sensor</t>
        </is>
      </c>
    </row>
    <row r="24">
      <c r="A24" s="4" t="inlineStr">
        <is>
          <t>E20</t>
        </is>
      </c>
      <c r="B24" s="4" t="inlineStr">
        <is>
          <t>Fusibles mini 2 A / 3 A (kit)</t>
        </is>
      </c>
      <c r="C24" s="4" t="inlineStr">
        <is>
          <t>B0BMGBBPTT</t>
        </is>
      </c>
      <c r="D24" s="13" t="inlineStr">
        <is>
          <t>https://www.amazon.es/dp/B0BMGBBPTT</t>
        </is>
      </c>
      <c r="E24" s="4" t="n">
        <v>1</v>
      </c>
      <c r="F24" s="14" t="n"/>
      <c r="G24" s="15" t="n">
        <v>1</v>
      </c>
      <c r="H24" s="7" t="n">
        <v>15.99</v>
      </c>
      <c r="I24" s="7">
        <f>G24*H24</f>
        <v/>
      </c>
      <c r="J24" s="4" t="inlineStr">
        <is>
          <t>(no dibujado)</t>
        </is>
      </c>
      <c r="K24" s="4" t="inlineStr">
        <is>
          <t>Fusibles de los 4 ramales: 3 A (Pi, Solo, pantalla) y 2 A (sensor)</t>
        </is>
      </c>
    </row>
    <row r="25">
      <c r="A25" s="4" t="inlineStr">
        <is>
          <t>E21</t>
        </is>
      </c>
      <c r="B25" s="4" t="inlineStr">
        <is>
          <t>microSD SanDisk High Endurance 32 GB</t>
        </is>
      </c>
      <c r="C25" s="4" t="inlineStr">
        <is>
          <t>B07P14QHB7</t>
        </is>
      </c>
      <c r="D25" s="13" t="inlineStr">
        <is>
          <t>https://www.amazon.es/dp/B07P14QHB7</t>
        </is>
      </c>
      <c r="E25" s="4" t="n">
        <v>1</v>
      </c>
      <c r="F25" s="14" t="n"/>
      <c r="G25" s="15" t="n">
        <v>1</v>
      </c>
      <c r="H25" s="7" t="n">
        <v>20.49</v>
      </c>
      <c r="I25" s="7">
        <f>G25*H25</f>
        <v/>
      </c>
      <c r="J25" s="4" t="inlineStr">
        <is>
          <t>(no dibujado)</t>
        </is>
      </c>
      <c r="K25" s="4" t="inlineStr"/>
    </row>
    <row r="26">
      <c r="A26" s="4" t="inlineStr">
        <is>
          <t>E22</t>
        </is>
      </c>
      <c r="B26" s="4" t="inlineStr">
        <is>
          <t>Cable Schuko → C13</t>
        </is>
      </c>
      <c r="C26" s="4" t="inlineStr">
        <is>
          <t>B00AOAJAUC</t>
        </is>
      </c>
      <c r="D26" s="13" t="inlineStr">
        <is>
          <t>https://www.amazon.es/dp/B00AOAJAUC</t>
        </is>
      </c>
      <c r="E26" s="4" t="n">
        <v>1</v>
      </c>
      <c r="F26" s="14" t="n"/>
      <c r="G26" s="15" t="n">
        <v>1</v>
      </c>
      <c r="H26" s="7" t="n">
        <v>7</v>
      </c>
      <c r="I26" s="7">
        <f>G26*H26</f>
        <v/>
      </c>
      <c r="J26" s="4" t="inlineStr">
        <is>
          <t>(no dibujado)</t>
        </is>
      </c>
      <c r="K26" s="4" t="inlineStr">
        <is>
          <t>Cable de red del bar a la máquina</t>
        </is>
      </c>
    </row>
    <row r="27">
      <c r="A27" s="4" t="inlineStr">
        <is>
          <t>H01</t>
        </is>
      </c>
      <c r="B27" s="4" t="inlineStr">
        <is>
          <t>Silentblock M4 10×10 (4 uds.)</t>
        </is>
      </c>
      <c r="C27" s="4" t="inlineStr">
        <is>
          <t>B07QK5M755</t>
        </is>
      </c>
      <c r="D27" s="13" t="inlineStr">
        <is>
          <t>https://www.amazon.es/dp/B07QK5M755</t>
        </is>
      </c>
      <c r="E27" s="4" t="n">
        <v>4</v>
      </c>
      <c r="F27" s="4" t="n">
        <v>4</v>
      </c>
      <c r="G27" s="14">
        <f>ROUNDUP(E27/F27,0)</f>
        <v/>
      </c>
      <c r="H27" s="7" t="n">
        <v>9.33</v>
      </c>
      <c r="I27" s="7">
        <f>G27*H27</f>
        <v/>
      </c>
      <c r="J27" s="4" t="inlineStr">
        <is>
          <t>H01.1, H01.2, H01.3, H01.4</t>
        </is>
      </c>
      <c r="K27" s="4" t="inlineStr"/>
    </row>
    <row r="28">
      <c r="A28" s="4" t="inlineStr">
        <is>
          <t>H02</t>
        </is>
      </c>
      <c r="B28" s="4" t="inlineStr">
        <is>
          <t>Topes de goma adhesivos 10×3 mm</t>
        </is>
      </c>
      <c r="C28" s="4" t="inlineStr">
        <is>
          <t>B0CHNRVG2Z</t>
        </is>
      </c>
      <c r="D28" s="13" t="inlineStr">
        <is>
          <t>https://www.amazon.es/dp/B0CHNRVG2Z</t>
        </is>
      </c>
      <c r="E28" s="4" t="n">
        <v>24</v>
      </c>
      <c r="F28" s="14" t="n"/>
      <c r="G28" s="15" t="n">
        <v>1</v>
      </c>
      <c r="H28" s="7" t="n">
        <v>6.29</v>
      </c>
      <c r="I28" s="7">
        <f>G28*H28</f>
        <v/>
      </c>
      <c r="J28" s="4" t="inlineStr">
        <is>
          <t>H02.1, H02.2, H02.3, H02.4, H02.5, H02.6, H02.7, H02.8, H02.9, H02.10, H02.11, H02.12, H02.13, H02.14, H02.15, H02.16</t>
        </is>
      </c>
      <c r="K28" s="4" t="inlineStr"/>
    </row>
    <row r="29">
      <c r="A29" s="4" t="inlineStr">
        <is>
          <t>H03</t>
        </is>
      </c>
      <c r="B29" s="4" t="inlineStr">
        <is>
          <t>Cerradura de leva 16 mm con llave</t>
        </is>
      </c>
      <c r="C29" s="4" t="inlineStr">
        <is>
          <t>B0CRRBYJ2Y</t>
        </is>
      </c>
      <c r="D29" s="13" t="inlineStr">
        <is>
          <t>https://www.amazon.es/dp/B0CRRBYJ2Y</t>
        </is>
      </c>
      <c r="E29" s="4" t="n">
        <v>1</v>
      </c>
      <c r="F29" s="14" t="n"/>
      <c r="G29" s="15" t="n">
        <v>1</v>
      </c>
      <c r="H29" s="7" t="n">
        <v>6.99</v>
      </c>
      <c r="I29" s="7">
        <f>G29*H29</f>
        <v/>
      </c>
      <c r="J29" s="4" t="inlineStr">
        <is>
          <t>H03.1</t>
        </is>
      </c>
      <c r="K29" s="4" t="inlineStr">
        <is>
          <t>La leva recta se corta a 20,5 mm (ver documento)</t>
        </is>
      </c>
    </row>
    <row r="30">
      <c r="A30" s="4" t="inlineStr">
        <is>
          <t>H04</t>
        </is>
      </c>
      <c r="B30" s="4" t="inlineStr">
        <is>
          <t>Bisagra de piano inox 30 cm</t>
        </is>
      </c>
      <c r="C30" s="4" t="inlineStr">
        <is>
          <t>B0D8KDZLPN</t>
        </is>
      </c>
      <c r="D30" s="13" t="inlineStr">
        <is>
          <t>https://www.amazon.es/dp/B0D8KDZLPN</t>
        </is>
      </c>
      <c r="E30" s="4" t="n">
        <v>1</v>
      </c>
      <c r="F30" s="14" t="n"/>
      <c r="G30" s="15" t="n">
        <v>1</v>
      </c>
      <c r="H30" s="7" t="n">
        <v>9.99</v>
      </c>
      <c r="I30" s="7">
        <f>G30*H30</f>
        <v/>
      </c>
      <c r="J30" s="4" t="inlineStr">
        <is>
          <t>H04.1, H04.2</t>
        </is>
      </c>
      <c r="K30" s="4" t="inlineStr"/>
    </row>
    <row r="31">
      <c r="A31" s="4" t="inlineStr">
        <is>
          <t>H06</t>
        </is>
      </c>
      <c r="B31" s="4" t="inlineStr">
        <is>
          <t>Espárrago M4×10 soldable (PC)</t>
        </is>
      </c>
      <c r="C31" s="4" t="inlineStr">
        <is>
          <t>B0GSCLY4D7</t>
        </is>
      </c>
      <c r="D31" s="13" t="inlineStr">
        <is>
          <t>https://www.amazon.es/dp/B0GSCLY4D7</t>
        </is>
      </c>
      <c r="E31" s="4" t="n">
        <v>2</v>
      </c>
      <c r="F31" s="4" t="n">
        <v>20</v>
      </c>
      <c r="G31" s="14">
        <f>ROUNDUP(E31/F31,0)</f>
        <v/>
      </c>
      <c r="H31" s="7" t="n">
        <v>7.87</v>
      </c>
      <c r="I31" s="7">
        <f>G31*H31</f>
        <v/>
      </c>
      <c r="J31" s="4" t="inlineStr">
        <is>
          <t>H06.1, H06.2</t>
        </is>
      </c>
      <c r="K31" s="4" t="inlineStr"/>
    </row>
    <row r="32">
      <c r="A32" s="4" t="inlineStr">
        <is>
          <t>H07</t>
        </is>
      </c>
      <c r="B32" s="4" t="inlineStr">
        <is>
          <t>Espárrago M4×20 soldable (soportes y tierra)</t>
        </is>
      </c>
      <c r="C32" s="4" t="inlineStr">
        <is>
          <t>B0GSCLY4D7</t>
        </is>
      </c>
      <c r="D32" s="13" t="inlineStr">
        <is>
          <t>https://www.amazon.es/dp/B0GSCLY4D7</t>
        </is>
      </c>
      <c r="E32" s="4" t="n">
        <v>8</v>
      </c>
      <c r="F32" s="4" t="n">
        <v>20</v>
      </c>
      <c r="G32" s="14">
        <f>ROUNDUP(E32/F32,0)</f>
        <v/>
      </c>
      <c r="H32" s="7" t="n">
        <v>8.4</v>
      </c>
      <c r="I32" s="7">
        <f>G32*H32</f>
        <v/>
      </c>
      <c r="J32" s="4" t="inlineStr">
        <is>
          <t>H07.1, H07.2, H07.3, H07.4, H07.5, H07.6, H07.7, H07.8</t>
        </is>
      </c>
      <c r="K32" s="4" t="inlineStr"/>
    </row>
    <row r="33">
      <c r="A33" s="4" t="inlineStr">
        <is>
          <t>H08</t>
        </is>
      </c>
      <c r="B33" s="4" t="inlineStr">
        <is>
          <t>Separadores M2 nylon (cámara)</t>
        </is>
      </c>
      <c r="C33" s="4" t="inlineStr">
        <is>
          <t>B0FVLLN788</t>
        </is>
      </c>
      <c r="D33" s="13" t="inlineStr">
        <is>
          <t>https://www.amazon.es/dp/B0FVLLN788</t>
        </is>
      </c>
      <c r="E33" s="4" t="n">
        <v>4</v>
      </c>
      <c r="F33" s="14" t="n"/>
      <c r="G33" s="15" t="n">
        <v>1</v>
      </c>
      <c r="H33" s="7" t="n">
        <v>8.99</v>
      </c>
      <c r="I33" s="7">
        <f>G33*H33</f>
        <v/>
      </c>
      <c r="J33" s="4" t="inlineStr">
        <is>
          <t>(no dibujado)</t>
        </is>
      </c>
      <c r="K33" s="4" t="inlineStr">
        <is>
          <t>Separadores de la cámara (dibujados con la cámara)</t>
        </is>
      </c>
    </row>
    <row r="34">
      <c r="A34" s="4" t="inlineStr">
        <is>
          <t>H09</t>
        </is>
      </c>
      <c r="B34" s="4" t="inlineStr">
        <is>
          <t>Separadores M2.5 nylon (Pi)</t>
        </is>
      </c>
      <c r="C34" s="4" t="inlineStr">
        <is>
          <t>B0G4G7WQRM</t>
        </is>
      </c>
      <c r="D34" s="13" t="inlineStr">
        <is>
          <t>https://www.amazon.es/dp/B0G4G7WQRM</t>
        </is>
      </c>
      <c r="E34" s="4" t="n">
        <v>10</v>
      </c>
      <c r="F34" s="4" t="n">
        <v>350</v>
      </c>
      <c r="G34" s="14">
        <f>ROUNDUP(E34/F34,0)</f>
        <v/>
      </c>
      <c r="H34" s="7" t="n">
        <v>9.99</v>
      </c>
      <c r="I34" s="7">
        <f>G34*H34</f>
        <v/>
      </c>
      <c r="J34" s="4" t="inlineStr">
        <is>
          <t>H09.1, H09.2, H09.3, H09.4, H09.5, H09.6, H09.7, H09.8, H09.9, H09.10</t>
        </is>
      </c>
      <c r="K34" s="4" t="inlineStr"/>
    </row>
    <row r="35">
      <c r="A35" s="4" t="inlineStr">
        <is>
          <t>H10</t>
        </is>
      </c>
      <c r="B35" s="4" t="inlineStr">
        <is>
          <t>Pasacables de goma (kit)</t>
        </is>
      </c>
      <c r="C35" s="4" t="inlineStr">
        <is>
          <t>B0B5DLWVZ2</t>
        </is>
      </c>
      <c r="D35" s="13" t="inlineStr">
        <is>
          <t>https://www.amazon.es/dp/B0B5DLWVZ2</t>
        </is>
      </c>
      <c r="E35" s="4" t="n">
        <v>3</v>
      </c>
      <c r="F35" s="4" t="n">
        <v>260</v>
      </c>
      <c r="G35" s="14">
        <f>ROUNDUP(E35/F35,0)</f>
        <v/>
      </c>
      <c r="H35" s="7" t="n">
        <v>7.99</v>
      </c>
      <c r="I35" s="7">
        <f>G35*H35</f>
        <v/>
      </c>
      <c r="J35" s="4" t="inlineStr">
        <is>
          <t>H10.1, H10.2, H10.3</t>
        </is>
      </c>
      <c r="K35" s="4" t="inlineStr"/>
    </row>
    <row r="36">
      <c r="A36" s="4" t="inlineStr">
        <is>
          <t>H11</t>
        </is>
      </c>
      <c r="B36" s="4" t="inlineStr">
        <is>
          <t>Placa de policarbonato 5 mm 1000×1000</t>
        </is>
      </c>
      <c r="C36" s="4" t="inlineStr">
        <is>
          <t>B08CGMX1B6</t>
        </is>
      </c>
      <c r="D36" s="13" t="inlineStr">
        <is>
          <t>https://www.amazon.es/dp/B08CGMX1B6</t>
        </is>
      </c>
      <c r="E36" s="4" t="n">
        <v>1</v>
      </c>
      <c r="F36" s="14" t="n"/>
      <c r="G36" s="15" t="n">
        <v>1</v>
      </c>
      <c r="H36" s="7" t="n">
        <v>94.33</v>
      </c>
      <c r="I36" s="7">
        <f>G36*H36</f>
        <v/>
      </c>
      <c r="J36" s="4" t="inlineStr">
        <is>
          <t>(no dibujado)</t>
        </is>
      </c>
      <c r="K36" s="4" t="inlineStr">
        <is>
          <t>Se cortan los frontales de policarbonato (pieza V01)</t>
        </is>
      </c>
    </row>
    <row r="37">
      <c r="A37" s="4" t="inlineStr">
        <is>
          <t>H12</t>
        </is>
      </c>
      <c r="B37" s="4" t="inlineStr">
        <is>
          <t>Tuercas M4 inox (del surtido de tornillería M06)</t>
        </is>
      </c>
      <c r="C37" s="4" t="inlineStr"/>
      <c r="D37" s="4" t="inlineStr"/>
      <c r="E37" s="4" t="n">
        <v>10</v>
      </c>
      <c r="F37" s="14" t="n"/>
      <c r="G37" s="15" t="n">
        <v>1</v>
      </c>
      <c r="H37" s="7" t="n">
        <v>0</v>
      </c>
      <c r="I37" s="7">
        <f>G37*H37</f>
        <v/>
      </c>
      <c r="J37" s="4" t="inlineStr">
        <is>
          <t>H12.1, H12.2, H12.3, H12.4, H12.5, H12.6, H12.7, H12.8, H12.9, H12.10</t>
        </is>
      </c>
      <c r="K37" s="4" t="inlineStr">
        <is>
          <t>Sin anuncio fijado: buscar «tuerca ciega M4 inox» (DIN 1587)</t>
        </is>
      </c>
    </row>
    <row r="38">
      <c r="A38" s="4" t="inlineStr">
        <is>
          <t>H13</t>
        </is>
      </c>
      <c r="B38" s="4" t="inlineStr">
        <is>
          <t>Perfil de goma en U para cantos</t>
        </is>
      </c>
      <c r="C38" s="4" t="inlineStr">
        <is>
          <t>B0FPQMRG8J</t>
        </is>
      </c>
      <c r="D38" s="13" t="inlineStr">
        <is>
          <t>https://www.amazon.es/dp/B0FPQMRG8J</t>
        </is>
      </c>
      <c r="E38" s="4" t="n">
        <v>1</v>
      </c>
      <c r="F38" s="14" t="n"/>
      <c r="G38" s="15" t="n">
        <v>1</v>
      </c>
      <c r="H38" s="7" t="n">
        <v>9.99</v>
      </c>
      <c r="I38" s="7">
        <f>G38*H38</f>
        <v/>
      </c>
      <c r="J38" s="4" t="inlineStr">
        <is>
          <t>(no dibujado)</t>
        </is>
      </c>
      <c r="K38" s="4" t="inlineStr">
        <is>
          <t>Perfil de goma en los cantos del hueco del cajón de pajitas</t>
        </is>
      </c>
    </row>
    <row r="39">
      <c r="A39" s="4" t="inlineStr">
        <is>
          <t>H14</t>
        </is>
      </c>
      <c r="B39" s="4" t="inlineStr">
        <is>
          <t>Tirafondo hexagonal 6 × 60 DIN 571 (30 uds.)</t>
        </is>
      </c>
      <c r="C39" s="4" t="inlineStr">
        <is>
          <t>B0B61JZ25M</t>
        </is>
      </c>
      <c r="D39" s="13" t="inlineStr">
        <is>
          <t>https://www.amazon.es/dp/B0B61JZ25M</t>
        </is>
      </c>
      <c r="E39" s="4" t="n">
        <v>18</v>
      </c>
      <c r="F39" s="4" t="n">
        <v>30</v>
      </c>
      <c r="G39" s="14">
        <f>ROUNDUP(E39/F39,0)</f>
        <v/>
      </c>
      <c r="H39" s="7" t="n">
        <v>12.35</v>
      </c>
      <c r="I39" s="7">
        <f>G39*H39</f>
        <v/>
      </c>
      <c r="J39" s="4" t="inlineStr">
        <is>
          <t>(no dibujado)</t>
        </is>
      </c>
      <c r="K39" s="4" t="inlineStr">
        <is>
          <t>18 tirafondos a la pared (no dibujados), por los agujeros Ø6,5 de la trasera; se aprietan desde dentro con llave de vaso de 10</t>
        </is>
      </c>
    </row>
    <row r="40">
      <c r="A40" s="4" t="inlineStr">
        <is>
          <t>H15</t>
        </is>
      </c>
      <c r="B40" s="4" t="inlineStr">
        <is>
          <t>Arandela ancha M6 DIN 9021 inox (25 uds.)</t>
        </is>
      </c>
      <c r="C40" s="4" t="inlineStr">
        <is>
          <t>B07Q5TVVMJ</t>
        </is>
      </c>
      <c r="D40" s="13" t="inlineStr">
        <is>
          <t>https://www.amazon.es/dp/B07Q5TVVMJ</t>
        </is>
      </c>
      <c r="E40" s="4" t="n">
        <v>18</v>
      </c>
      <c r="F40" s="4" t="n">
        <v>25</v>
      </c>
      <c r="G40" s="14">
        <f>ROUNDUP(E40/F40,0)</f>
        <v/>
      </c>
      <c r="H40" s="7" t="n">
        <v>9.69</v>
      </c>
      <c r="I40" s="7">
        <f>G40*H40</f>
        <v/>
      </c>
      <c r="J40" s="4" t="inlineStr">
        <is>
          <t>(no dibujado)</t>
        </is>
      </c>
      <c r="K40" s="4" t="inlineStr">
        <is>
          <t>Una por tirafondo</t>
        </is>
      </c>
    </row>
    <row r="41">
      <c r="A41" s="4" t="inlineStr">
        <is>
          <t>H16</t>
        </is>
      </c>
      <c r="B41" s="4" t="inlineStr">
        <is>
          <t>Taco de nylon fischer SX Plus 8 × 40 (100 uds.)</t>
        </is>
      </c>
      <c r="C41" s="4" t="inlineStr">
        <is>
          <t>B0C43ZLBNM</t>
        </is>
      </c>
      <c r="D41" s="13" t="inlineStr">
        <is>
          <t>https://www.amazon.es/dp/B0C43ZLBNM</t>
        </is>
      </c>
      <c r="E41" s="4" t="n">
        <v>18</v>
      </c>
      <c r="F41" s="4" t="n">
        <v>100</v>
      </c>
      <c r="G41" s="14">
        <f>ROUNDUP(E41/F41,0)</f>
        <v/>
      </c>
      <c r="H41" s="7" t="n">
        <v>7.29</v>
      </c>
      <c r="I41" s="7">
        <f>G41*H41</f>
        <v/>
      </c>
      <c r="J41" s="4" t="inlineStr">
        <is>
          <t>(no dibujado)</t>
        </is>
      </c>
      <c r="K41" s="4" t="inlineStr">
        <is>
          <t>Uno por tirafondo; broca de 8 mm y 60 mm de profundidad</t>
        </is>
      </c>
    </row>
    <row r="42">
      <c r="A42" s="4" t="inlineStr">
        <is>
          <t>H17</t>
        </is>
      </c>
      <c r="B42" s="4" t="inlineStr">
        <is>
          <t>Tornillo de seguridad Torx con pin M4 × 16, cabeza plana, inox (20 uds.)</t>
        </is>
      </c>
      <c r="C42" s="4" t="inlineStr">
        <is>
          <t>B0GGSDJMYV</t>
        </is>
      </c>
      <c r="D42" s="13" t="inlineStr">
        <is>
          <t>https://www.amazon.es/dp/B0GGSDJMYV</t>
        </is>
      </c>
      <c r="E42" s="4" t="n">
        <v>10</v>
      </c>
      <c r="F42" s="4" t="n">
        <v>20</v>
      </c>
      <c r="G42" s="14">
        <f>ROUNDUP(E42/F42,0)</f>
        <v/>
      </c>
      <c r="H42" s="7" t="n">
        <v>9.19</v>
      </c>
      <c r="I42" s="7">
        <f>G42*H42</f>
        <v/>
      </c>
      <c r="J42" s="4" t="inlineStr">
        <is>
          <t>H17.1, H17.2, H17.3, H17.4, H17.5, H17.6, H17.7, H17.8, H17.9, H17.10</t>
        </is>
      </c>
      <c r="K42" s="4" t="inlineStr">
        <is>
          <t>Hace falta una punta Torx T20 de seguridad (con agujero); suele venir en los juegos de puntas</t>
        </is>
      </c>
    </row>
    <row r="43">
      <c r="A43" s="4" t="inlineStr">
        <is>
          <t>H18</t>
        </is>
      </c>
      <c r="B43" s="4" t="inlineStr">
        <is>
          <t>Candado ABUS 65/30 de latón, pack de 2 con la misma llave</t>
        </is>
      </c>
      <c r="C43" s="4" t="inlineStr">
        <is>
          <t>B01H9Z6HB4</t>
        </is>
      </c>
      <c r="D43" s="13" t="inlineStr">
        <is>
          <t>https://www.amazon.es/dp/B01H9Z6HB4</t>
        </is>
      </c>
      <c r="E43" s="4" t="n">
        <v>2</v>
      </c>
      <c r="F43" s="14" t="n"/>
      <c r="G43" s="15" t="n">
        <v>1</v>
      </c>
      <c r="H43" s="7" t="n">
        <v>20.59</v>
      </c>
      <c r="I43" s="7">
        <f>G43*H43</f>
        <v/>
      </c>
      <c r="J43" s="4" t="inlineStr">
        <is>
          <t>H18.1, H18.2</t>
        </is>
      </c>
      <c r="K43" s="4" t="inlineStr"/>
    </row>
    <row r="44">
      <c r="A44" s="4" t="inlineStr">
        <is>
          <t>M01</t>
        </is>
      </c>
      <c r="B44" s="4" t="inlineStr">
        <is>
          <t>Fusibles cerámicos 5×20 T2,5A (para la C14)</t>
        </is>
      </c>
      <c r="C44" s="4" t="inlineStr">
        <is>
          <t>B0956XYTN6</t>
        </is>
      </c>
      <c r="D44" s="13" t="inlineStr">
        <is>
          <t>https://www.amazon.es/dp/B0956XYTN6</t>
        </is>
      </c>
      <c r="E44" s="4" t="n">
        <v>1</v>
      </c>
      <c r="F44" s="4" t="n">
        <v>10</v>
      </c>
      <c r="G44" s="14">
        <f>ROUNDUP(E44/F44,0)</f>
        <v/>
      </c>
      <c r="H44" s="7" t="n">
        <v>9.99</v>
      </c>
      <c r="I44" s="7">
        <f>G44*H44</f>
        <v/>
      </c>
      <c r="J44" s="4" t="inlineStr">
        <is>
          <t>(material de montaje)</t>
        </is>
      </c>
      <c r="K44" s="4" t="inlineStr">
        <is>
          <t>Cambiar el de 10 A que trae la C14</t>
        </is>
      </c>
    </row>
    <row r="45">
      <c r="A45" s="4" t="inlineStr">
        <is>
          <t>M02</t>
        </is>
      </c>
      <c r="B45" s="4" t="inlineStr">
        <is>
          <t>Cable 2×0,75 mm² rojo/negro, 10 m</t>
        </is>
      </c>
      <c r="C45" s="4" t="inlineStr">
        <is>
          <t>B0D12QPF4Y</t>
        </is>
      </c>
      <c r="D45" s="13" t="inlineStr">
        <is>
          <t>https://www.amazon.es/dp/B0D12QPF4Y</t>
        </is>
      </c>
      <c r="E45" s="4" t="n">
        <v>1</v>
      </c>
      <c r="F45" s="14" t="n"/>
      <c r="G45" s="15" t="n">
        <v>1</v>
      </c>
      <c r="H45" s="7" t="n">
        <v>14.1</v>
      </c>
      <c r="I45" s="7">
        <f>G45*H45</f>
        <v/>
      </c>
      <c r="J45" s="4" t="inlineStr">
        <is>
          <t>(material de montaje)</t>
        </is>
      </c>
      <c r="K45" s="4" t="inlineStr">
        <is>
          <t>Troncal de 5 V y ramas</t>
        </is>
      </c>
    </row>
    <row r="46">
      <c r="A46" s="4" t="inlineStr">
        <is>
          <t>M03</t>
        </is>
      </c>
      <c r="B46" s="4" t="inlineStr">
        <is>
          <t>Manguera H05VV-F 3G1,5 mm², 5 m</t>
        </is>
      </c>
      <c r="C46" s="4" t="inlineStr">
        <is>
          <t>B07BDHJGKG</t>
        </is>
      </c>
      <c r="D46" s="13" t="inlineStr">
        <is>
          <t>https://www.amazon.es/dp/B07BDHJGKG</t>
        </is>
      </c>
      <c r="E46" s="4" t="n">
        <v>1</v>
      </c>
      <c r="F46" s="14" t="n"/>
      <c r="G46" s="15" t="n">
        <v>1</v>
      </c>
      <c r="H46" s="7" t="n">
        <v>27.74</v>
      </c>
      <c r="I46" s="7">
        <f>G46*H46</f>
        <v/>
      </c>
      <c r="J46" s="4" t="inlineStr">
        <is>
          <t>(material de montaje)</t>
        </is>
      </c>
      <c r="K46" s="4" t="inlineStr">
        <is>
          <t>230 V y tierra (marrón, azul y verde-amarillo)</t>
        </is>
      </c>
    </row>
    <row r="47">
      <c r="A47" s="4" t="inlineStr">
        <is>
          <t>M04</t>
        </is>
      </c>
      <c r="B47" s="4" t="inlineStr">
        <is>
          <t>Terminales de ojal M4 (25 uds.)</t>
        </is>
      </c>
      <c r="C47" s="4" t="inlineStr">
        <is>
          <t>B0CVW7Y2P4</t>
        </is>
      </c>
      <c r="D47" s="13" t="inlineStr">
        <is>
          <t>https://www.amazon.es/dp/B0CVW7Y2P4</t>
        </is>
      </c>
      <c r="E47" s="4" t="n">
        <v>6</v>
      </c>
      <c r="F47" s="4" t="n">
        <v>25</v>
      </c>
      <c r="G47" s="14">
        <f>ROUNDUP(E47/F47,0)</f>
        <v/>
      </c>
      <c r="H47" s="7" t="n">
        <v>5.52</v>
      </c>
      <c r="I47" s="7">
        <f>G47*H47</f>
        <v/>
      </c>
      <c r="J47" s="4" t="inlineStr">
        <is>
          <t>(material de montaje)</t>
        </is>
      </c>
      <c r="K47" s="4" t="inlineStr">
        <is>
          <t>Espárragos de tierra</t>
        </is>
      </c>
    </row>
    <row r="48">
      <c r="A48" s="4" t="inlineStr">
        <is>
          <t>M05</t>
        </is>
      </c>
      <c r="B48" s="4" t="inlineStr">
        <is>
          <t>Arandelas dentadas M4 (200 uds.)</t>
        </is>
      </c>
      <c r="C48" s="4" t="inlineStr">
        <is>
          <t>B0B77J5FZS</t>
        </is>
      </c>
      <c r="D48" s="13" t="inlineStr">
        <is>
          <t>https://www.amazon.es/dp/B0B77J5FZS</t>
        </is>
      </c>
      <c r="E48" s="4" t="n">
        <v>4</v>
      </c>
      <c r="F48" s="4" t="n">
        <v>200</v>
      </c>
      <c r="G48" s="14">
        <f>ROUNDUP(E48/F48,0)</f>
        <v/>
      </c>
      <c r="H48" s="7" t="n">
        <v>7.99</v>
      </c>
      <c r="I48" s="7">
        <f>G48*H48</f>
        <v/>
      </c>
      <c r="J48" s="4" t="inlineStr">
        <is>
          <t>(material de montaje)</t>
        </is>
      </c>
      <c r="K48" s="4" t="inlineStr">
        <is>
          <t>Bajo cada ojal de tierra</t>
        </is>
      </c>
    </row>
    <row r="49">
      <c r="A49" s="4" t="inlineStr">
        <is>
          <t>M06</t>
        </is>
      </c>
      <c r="B49" s="4" t="inlineStr">
        <is>
          <t>Tornillería M3–M6 inox (surtido)</t>
        </is>
      </c>
      <c r="C49" s="4" t="inlineStr">
        <is>
          <t>B0BGRY2JGX</t>
        </is>
      </c>
      <c r="D49" s="13" t="inlineStr">
        <is>
          <t>https://www.amazon.es/dp/B0BGRY2JGX</t>
        </is>
      </c>
      <c r="E49" s="4" t="n">
        <v>1</v>
      </c>
      <c r="F49" s="14" t="n"/>
      <c r="G49" s="15" t="n">
        <v>1</v>
      </c>
      <c r="H49" s="7" t="n">
        <v>11.99</v>
      </c>
      <c r="I49" s="7">
        <f>G49*H49</f>
        <v/>
      </c>
      <c r="J49" s="4" t="inlineStr">
        <is>
          <t>(material de montaje)</t>
        </is>
      </c>
      <c r="K49" s="4" t="inlineStr">
        <is>
          <t>M3 fuente y bornes, M4 tuercas</t>
        </is>
      </c>
    </row>
    <row r="50">
      <c r="A50" s="4" t="inlineStr">
        <is>
          <t>M07</t>
        </is>
      </c>
      <c r="B50" s="4" t="inlineStr">
        <is>
          <t>Terminales faston aislados (kit)</t>
        </is>
      </c>
      <c r="C50" s="4" t="inlineStr">
        <is>
          <t>B0B4H54KPS</t>
        </is>
      </c>
      <c r="D50" s="13" t="inlineStr">
        <is>
          <t>https://www.amazon.es/dp/B0B4H54KPS</t>
        </is>
      </c>
      <c r="E50" s="4" t="n">
        <v>1</v>
      </c>
      <c r="F50" s="14" t="n"/>
      <c r="G50" s="15" t="n">
        <v>1</v>
      </c>
      <c r="H50" s="7" t="n">
        <v>10.99</v>
      </c>
      <c r="I50" s="7">
        <f>G50*H50</f>
        <v/>
      </c>
      <c r="J50" s="4" t="inlineStr">
        <is>
          <t>(material de montaje)</t>
        </is>
      </c>
      <c r="K50" s="4" t="inlineStr">
        <is>
          <t>C14 y conector rápido del puente de tierra</t>
        </is>
      </c>
    </row>
    <row r="51">
      <c r="A51" s="4" t="inlineStr">
        <is>
          <t>M08</t>
        </is>
      </c>
      <c r="B51" s="4" t="inlineStr">
        <is>
          <t>Cables Dupont (120 uds.)</t>
        </is>
      </c>
      <c r="C51" s="4" t="inlineStr">
        <is>
          <t>B01NGTXASZ</t>
        </is>
      </c>
      <c r="D51" s="13" t="inlineStr">
        <is>
          <t>https://www.amazon.es/dp/B01NGTXASZ</t>
        </is>
      </c>
      <c r="E51" s="4" t="n">
        <v>1</v>
      </c>
      <c r="F51" s="4" t="n">
        <v>120</v>
      </c>
      <c r="G51" s="14">
        <f>ROUNDUP(E51/F51,0)</f>
        <v/>
      </c>
      <c r="H51" s="7" t="n">
        <v>9.99</v>
      </c>
      <c r="I51" s="7">
        <f>G51*H51</f>
        <v/>
      </c>
      <c r="J51" s="4" t="inlineStr">
        <is>
          <t>(material de montaje)</t>
        </is>
      </c>
      <c r="K51" s="4" t="inlineStr">
        <is>
          <t>Pines de la Pi</t>
        </is>
      </c>
    </row>
    <row r="52">
      <c r="A52" s="4" t="inlineStr">
        <is>
          <t>M09</t>
        </is>
      </c>
      <c r="B52" s="4" t="inlineStr">
        <is>
          <t>Crimpadora + punteras (herramienta)</t>
        </is>
      </c>
      <c r="C52" s="4" t="inlineStr">
        <is>
          <t>B0FQP6KDL4</t>
        </is>
      </c>
      <c r="D52" s="13" t="inlineStr">
        <is>
          <t>https://www.amazon.es/dp/B0FQP6KDL4</t>
        </is>
      </c>
      <c r="E52" s="4" t="n">
        <v>1</v>
      </c>
      <c r="F52" s="14" t="n"/>
      <c r="G52" s="15" t="n">
        <v>1</v>
      </c>
      <c r="H52" s="7" t="n">
        <v>15.98</v>
      </c>
      <c r="I52" s="7">
        <f>G52*H52</f>
        <v/>
      </c>
      <c r="J52" s="4" t="inlineStr">
        <is>
          <t>(material de montaje)</t>
        </is>
      </c>
      <c r="K52" s="4" t="inlineStr">
        <is>
          <t>Herramienta: solo la primera vez</t>
        </is>
      </c>
    </row>
    <row r="53">
      <c r="A53" s="10" t="inlineStr">
        <is>
          <t>Total</t>
        </is>
      </c>
      <c r="B53" s="11" t="n"/>
      <c r="C53" s="11" t="n"/>
      <c r="D53" s="11" t="n"/>
      <c r="E53" s="11" t="n"/>
      <c r="F53" s="11" t="n"/>
      <c r="G53" s="11" t="n"/>
      <c r="H53" s="11" t="n"/>
      <c r="I53" s="16">
        <f>SUM(I5:I52)</f>
        <v/>
      </c>
      <c r="J53" s="11" t="n"/>
      <c r="K53" s="11" t="n"/>
    </row>
    <row r="54">
      <c r="A54" s="2" t="inlineStr">
        <is>
          <t>Sin herramienta</t>
        </is>
      </c>
      <c r="I54" s="17">
        <f>I53-SUMIF(A5:A52,"M09",I5:I52)</f>
        <v/>
      </c>
    </row>
  </sheetData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  <hyperlink xmlns:r="http://schemas.openxmlformats.org/officeDocument/2006/relationships" ref="D19" r:id="rId15"/>
    <hyperlink xmlns:r="http://schemas.openxmlformats.org/officeDocument/2006/relationships" ref="D20" r:id="rId16"/>
    <hyperlink xmlns:r="http://schemas.openxmlformats.org/officeDocument/2006/relationships" ref="D21" r:id="rId17"/>
    <hyperlink xmlns:r="http://schemas.openxmlformats.org/officeDocument/2006/relationships" ref="D22" r:id="rId18"/>
    <hyperlink xmlns:r="http://schemas.openxmlformats.org/officeDocument/2006/relationships" ref="D23" r:id="rId19"/>
    <hyperlink xmlns:r="http://schemas.openxmlformats.org/officeDocument/2006/relationships" ref="D24" r:id="rId20"/>
    <hyperlink xmlns:r="http://schemas.openxmlformats.org/officeDocument/2006/relationships" ref="D25" r:id="rId21"/>
    <hyperlink xmlns:r="http://schemas.openxmlformats.org/officeDocument/2006/relationships" ref="D26" r:id="rId22"/>
    <hyperlink xmlns:r="http://schemas.openxmlformats.org/officeDocument/2006/relationships" ref="D27" r:id="rId23"/>
    <hyperlink xmlns:r="http://schemas.openxmlformats.org/officeDocument/2006/relationships" ref="D28" r:id="rId24"/>
    <hyperlink xmlns:r="http://schemas.openxmlformats.org/officeDocument/2006/relationships" ref="D29" r:id="rId25"/>
    <hyperlink xmlns:r="http://schemas.openxmlformats.org/officeDocument/2006/relationships" ref="D30" r:id="rId26"/>
    <hyperlink xmlns:r="http://schemas.openxmlformats.org/officeDocument/2006/relationships" ref="D31" r:id="rId27"/>
    <hyperlink xmlns:r="http://schemas.openxmlformats.org/officeDocument/2006/relationships" ref="D32" r:id="rId28"/>
    <hyperlink xmlns:r="http://schemas.openxmlformats.org/officeDocument/2006/relationships" ref="D33" r:id="rId29"/>
    <hyperlink xmlns:r="http://schemas.openxmlformats.org/officeDocument/2006/relationships" ref="D34" r:id="rId30"/>
    <hyperlink xmlns:r="http://schemas.openxmlformats.org/officeDocument/2006/relationships" ref="D35" r:id="rId31"/>
    <hyperlink xmlns:r="http://schemas.openxmlformats.org/officeDocument/2006/relationships" ref="D36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2026-10-26T13:30:27Z</dcterms:created>
  <dcterms:modified xmlns:dcterms="http://purl.org/dc/terms/" xmlns:xsi="http://www.w3.org/2001/XMLSchema-instance" xsi:type="dcterms:W3CDTF">2026-10-26T13:30:28Z</dcterms:modified>
</cp:coreProperties>
</file>